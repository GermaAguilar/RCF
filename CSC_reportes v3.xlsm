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rma\OneDrive\Documentos\Proyectos\4_RCF\"/>
    </mc:Choice>
  </mc:AlternateContent>
  <xr:revisionPtr revIDLastSave="0" documentId="13_ncr:1_{1ADA999B-5E15-40EC-9827-275E6609DC4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C inicial" sheetId="7" r:id="rId1"/>
    <sheet name="BC" sheetId="1" r:id="rId2"/>
    <sheet name="RCF" sheetId="3" r:id="rId3"/>
    <sheet name="Anexo N13" sheetId="4" r:id="rId4"/>
    <sheet name="Base Impuesto Diferido" sheetId="5" r:id="rId5"/>
    <sheet name="Menu" sheetId="6" r:id="rId6"/>
    <sheet name="Datos" sheetId="8" r:id="rId7"/>
  </sheets>
  <functionGroups builtInGroupCount="19"/>
  <definedNames>
    <definedName name="_xlnm._FilterDatabase" localSheetId="1" hidden="1">BC!$B:$D</definedName>
    <definedName name="_xlnm._FilterDatabase" localSheetId="0" hidden="1">'BC inicial'!$A$1:$C$249</definedName>
    <definedName name="_xleta.IF" hidden="1" xlm="1">#NAME?</definedName>
    <definedName name="_xlnm.Print_Area" localSheetId="2">RCF!$A$2:$J$59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0" i="4" l="1"/>
  <c r="F125" i="4"/>
  <c r="F134" i="4"/>
  <c r="E22" i="4" l="1"/>
  <c r="D22" i="4"/>
  <c r="E10" i="4"/>
  <c r="D10" i="4"/>
  <c r="E21" i="5"/>
  <c r="E20" i="5"/>
  <c r="E19" i="5"/>
  <c r="E18" i="5"/>
  <c r="E17" i="5"/>
  <c r="E16" i="5"/>
  <c r="E15" i="5"/>
  <c r="E14" i="5"/>
  <c r="E13" i="5"/>
  <c r="E9" i="5"/>
  <c r="E8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E22" i="5" l="1"/>
  <c r="E10" i="5"/>
  <c r="D143" i="5"/>
  <c r="D22" i="5"/>
  <c r="D143" i="4" l="1"/>
  <c r="E149" i="5" l="1"/>
  <c r="E150" i="5"/>
  <c r="E151" i="5"/>
  <c r="E152" i="5"/>
  <c r="D153" i="5"/>
  <c r="E153" i="4"/>
  <c r="F150" i="4"/>
  <c r="F151" i="4"/>
  <c r="F152" i="4"/>
  <c r="F214" i="4" l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O9" i="6" l="1"/>
  <c r="N25" i="6" l="1"/>
  <c r="N20" i="6"/>
  <c r="A2" i="3"/>
  <c r="C204" i="5"/>
  <c r="C199" i="5"/>
  <c r="E6" i="4"/>
  <c r="D6" i="5"/>
  <c r="A1" i="5"/>
  <c r="A1" i="4"/>
  <c r="N27" i="6" l="1"/>
  <c r="O8" i="6"/>
  <c r="O7" i="6" l="1"/>
  <c r="O6" i="6"/>
  <c r="E143" i="4" l="1"/>
  <c r="F88" i="4" l="1"/>
  <c r="E169" i="5" l="1"/>
  <c r="E170" i="5"/>
  <c r="E171" i="5"/>
  <c r="I20" i="3"/>
  <c r="E177" i="5" l="1"/>
  <c r="E176" i="5"/>
  <c r="E230" i="4"/>
  <c r="E180" i="5" l="1"/>
  <c r="D38" i="3"/>
  <c r="D46" i="3" s="1"/>
  <c r="D51" i="3" s="1"/>
  <c r="D70" i="3" s="1"/>
  <c r="G14" i="3"/>
  <c r="D10" i="5" l="1"/>
  <c r="A2" i="1"/>
  <c r="F237" i="4"/>
  <c r="E237" i="4"/>
  <c r="E214" i="4"/>
  <c r="F19" i="4"/>
  <c r="F18" i="4"/>
  <c r="F9" i="4"/>
  <c r="F8" i="4"/>
  <c r="I29" i="3"/>
  <c r="F13" i="4"/>
  <c r="F102" i="4"/>
  <c r="F137" i="4"/>
  <c r="F128" i="4"/>
  <c r="F126" i="4"/>
  <c r="G37" i="3"/>
  <c r="G38" i="3" s="1"/>
  <c r="J49" i="3"/>
  <c r="J50" i="3"/>
  <c r="J48" i="3"/>
  <c r="F10" i="4" l="1"/>
  <c r="E38" i="3"/>
  <c r="F38" i="3" s="1"/>
  <c r="A1" i="1"/>
  <c r="H38" i="3" l="1"/>
  <c r="F46" i="3"/>
  <c r="F51" i="3" s="1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6" i="5"/>
  <c r="E147" i="5"/>
  <c r="E148" i="5"/>
  <c r="E156" i="5"/>
  <c r="E157" i="5" s="1"/>
  <c r="D157" i="5"/>
  <c r="E160" i="5"/>
  <c r="E161" i="5"/>
  <c r="E162" i="5"/>
  <c r="E163" i="5"/>
  <c r="E164" i="5"/>
  <c r="D165" i="5"/>
  <c r="E168" i="5"/>
  <c r="E172" i="5"/>
  <c r="D173" i="5"/>
  <c r="D180" i="5"/>
  <c r="E185" i="5"/>
  <c r="E186" i="5"/>
  <c r="E190" i="5"/>
  <c r="E191" i="5"/>
  <c r="F14" i="4"/>
  <c r="F15" i="4"/>
  <c r="F16" i="4"/>
  <c r="F17" i="4"/>
  <c r="F20" i="4"/>
  <c r="F21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7" i="4"/>
  <c r="F129" i="4"/>
  <c r="F130" i="4"/>
  <c r="F131" i="4"/>
  <c r="F132" i="4"/>
  <c r="F133" i="4"/>
  <c r="F135" i="4"/>
  <c r="F136" i="4"/>
  <c r="F138" i="4"/>
  <c r="F139" i="4"/>
  <c r="F140" i="4"/>
  <c r="F141" i="4"/>
  <c r="F142" i="4"/>
  <c r="F146" i="4"/>
  <c r="F147" i="4"/>
  <c r="F148" i="4"/>
  <c r="F149" i="4"/>
  <c r="F156" i="4"/>
  <c r="F157" i="4" s="1"/>
  <c r="E157" i="4"/>
  <c r="F160" i="4"/>
  <c r="F161" i="4"/>
  <c r="F162" i="4"/>
  <c r="F163" i="4"/>
  <c r="F164" i="4"/>
  <c r="E165" i="4"/>
  <c r="F168" i="4"/>
  <c r="F169" i="4"/>
  <c r="F170" i="4"/>
  <c r="F171" i="4"/>
  <c r="F172" i="4"/>
  <c r="E173" i="4"/>
  <c r="I30" i="3"/>
  <c r="I31" i="3"/>
  <c r="I32" i="3"/>
  <c r="I34" i="3"/>
  <c r="E46" i="3"/>
  <c r="E51" i="3" s="1"/>
  <c r="H40" i="3"/>
  <c r="J40" i="3" s="1"/>
  <c r="H41" i="3"/>
  <c r="J41" i="3" s="1"/>
  <c r="H42" i="3"/>
  <c r="J42" i="3" s="1"/>
  <c r="H43" i="3"/>
  <c r="J43" i="3" s="1"/>
  <c r="J44" i="3"/>
  <c r="J45" i="3"/>
  <c r="J47" i="3"/>
  <c r="G52" i="3"/>
  <c r="C67" i="3"/>
  <c r="F22" i="4" l="1"/>
  <c r="E143" i="5"/>
  <c r="E153" i="5"/>
  <c r="F153" i="4"/>
  <c r="F143" i="4"/>
  <c r="D204" i="5"/>
  <c r="E187" i="5"/>
  <c r="E173" i="5"/>
  <c r="E192" i="5"/>
  <c r="F173" i="4"/>
  <c r="E165" i="5"/>
  <c r="F165" i="4"/>
  <c r="I37" i="3"/>
  <c r="F239" i="4" l="1"/>
  <c r="E204" i="5"/>
  <c r="D199" i="5"/>
  <c r="E182" i="5"/>
  <c r="G46" i="3"/>
  <c r="G51" i="3" s="1"/>
  <c r="I38" i="3"/>
  <c r="J38" i="3" s="1"/>
  <c r="H46" i="3"/>
  <c r="E199" i="5" l="1"/>
  <c r="E206" i="5" s="1"/>
  <c r="H51" i="3"/>
  <c r="I46" i="3"/>
  <c r="I51" i="3" s="1"/>
  <c r="J46" i="3"/>
  <c r="J51" i="3" l="1"/>
  <c r="N13" i="6" s="1"/>
  <c r="H53" i="3"/>
  <c r="H55" i="3" s="1"/>
  <c r="H59" i="3" l="1"/>
  <c r="N12" i="6" l="1"/>
  <c r="G59" i="3"/>
</calcChain>
</file>

<file path=xl/sharedStrings.xml><?xml version="1.0" encoding="utf-8"?>
<sst xmlns="http://schemas.openxmlformats.org/spreadsheetml/2006/main" count="1154" uniqueCount="476">
  <si>
    <t>Nombre</t>
  </si>
  <si>
    <t>CONTRIBUCIÓN LE Y DE PENSIONES POR PAGAR (, , 302)</t>
  </si>
  <si>
    <t>RESERVA ESPECIAL</t>
  </si>
  <si>
    <t>RESERVA OPERATIVA</t>
  </si>
  <si>
    <t>OTROS GASTOS POR PERSONAL ND</t>
  </si>
  <si>
    <t>GASTOS DE CARGA Y DESCARGA - ND</t>
  </si>
  <si>
    <t>RESERVA P/CUENTA GARANTÍA</t>
  </si>
  <si>
    <t>APTDO. P/IMP.S/RENTA (DIF.UT/SUSTITUTIVA)</t>
  </si>
  <si>
    <t>LIB. APARTADO P/DEUDORES VARIOS</t>
  </si>
  <si>
    <t>15% Deducibilidad Ingresos Brutos (Sueldos Administradores)</t>
  </si>
  <si>
    <t xml:space="preserve"> </t>
  </si>
  <si>
    <t>C2</t>
  </si>
  <si>
    <t>T</t>
  </si>
  <si>
    <t xml:space="preserve">TOTAL:   </t>
  </si>
  <si>
    <t>213.01.1009-</t>
  </si>
  <si>
    <t>Compra Creditos Fiscal IVA</t>
  </si>
  <si>
    <t>213.01.1008-</t>
  </si>
  <si>
    <t>Compra Creditos Fiscal ISLR</t>
  </si>
  <si>
    <t>213.01.1015-</t>
  </si>
  <si>
    <t>I.S.L.R Anticipo - Régimen Temporal</t>
  </si>
  <si>
    <t>213.01.1006-213.01.1012-</t>
  </si>
  <si>
    <t>Retenciones de Terceros - Imptos.  Anticipados</t>
  </si>
  <si>
    <t>213.01.1002-</t>
  </si>
  <si>
    <t>I.S.L.R. Declaración Estimada</t>
  </si>
  <si>
    <t>213.01.1005-</t>
  </si>
  <si>
    <t>I.S.L.R. Pagado en Exceso en Ejercicios Anteriores</t>
  </si>
  <si>
    <t>N</t>
  </si>
  <si>
    <t>Bs.</t>
  </si>
  <si>
    <t>IMPUESTOS ANTICIPADOS</t>
  </si>
  <si>
    <t>C7</t>
  </si>
  <si>
    <t>Pérdida Fiscal Arrastrada por Explotación  (Ej. Xxxx/xxxx)</t>
  </si>
  <si>
    <t>Suman:</t>
  </si>
  <si>
    <t xml:space="preserve">Pérdida Fiscal Arrastrada por Reajustes por Inflación </t>
  </si>
  <si>
    <t>C6</t>
  </si>
  <si>
    <t xml:space="preserve">Resultado Neto después del Impuesto Sobre la Renta:  </t>
  </si>
  <si>
    <t>T2</t>
  </si>
  <si>
    <t>714.01.3006-</t>
  </si>
  <si>
    <t>Impuesto Sobre la Renta Diferido</t>
  </si>
  <si>
    <t>714.01.3004-</t>
  </si>
  <si>
    <t>Apartado para Impuesto Sobre la Renta</t>
  </si>
  <si>
    <t>714.01.3008-</t>
  </si>
  <si>
    <t>Apartado para Impuesto Sobre la Renta - Estimado</t>
  </si>
  <si>
    <t>714.01.3007-</t>
  </si>
  <si>
    <t>Apartado para Impuesto Sobre la Renta (Dif. UT Ej. Anterior/Sustitutiva p/Fiscal.)</t>
  </si>
  <si>
    <t xml:space="preserve">Resultado antes del Impuesto Sobre la Renta:  </t>
  </si>
  <si>
    <t>714.01.3003-</t>
  </si>
  <si>
    <t>Apartado para Fondo Legal de Reserva</t>
  </si>
  <si>
    <t>714.01.3002-</t>
  </si>
  <si>
    <t>Reserva Voluntaria de Accionistas</t>
  </si>
  <si>
    <t>T3</t>
  </si>
  <si>
    <t>713.56.3901-</t>
  </si>
  <si>
    <t>Cargo por Servicios Prestados, según contrato</t>
  </si>
  <si>
    <t>713.18.2-</t>
  </si>
  <si>
    <t>Dietas Junta Administradora</t>
  </si>
  <si>
    <t>711.03.1003-</t>
  </si>
  <si>
    <t>Garantía de Prestaciones Sociales s/idem.</t>
  </si>
  <si>
    <t>711.01.1002-</t>
  </si>
  <si>
    <t>y Utilidades Legales,  sg. cuadro</t>
  </si>
  <si>
    <t xml:space="preserve">Remuneración Variable, Participaciones, Honorarios, Bono Vacacional </t>
  </si>
  <si>
    <t xml:space="preserve">Semi-Neto:  </t>
  </si>
  <si>
    <t>Liberaciones de Reservas</t>
  </si>
  <si>
    <t>Ajustes:</t>
  </si>
  <si>
    <t>612-</t>
  </si>
  <si>
    <t>714-</t>
  </si>
  <si>
    <t>Reservas</t>
  </si>
  <si>
    <t>C9</t>
  </si>
  <si>
    <t>714.01.3002-714.01.3003-714.01.3004--714.01.3006-714.01.3007-714.01.3008-</t>
  </si>
  <si>
    <t>212.05.3001-212.05.3002-212.09.1006-212.09.1010-212.05.1069-</t>
  </si>
  <si>
    <t>Remuneraciones Causadas y No Pagadas y/o Pagadas en el Ejercicio Actual y Causadas en el Ejercicio Anterior</t>
  </si>
  <si>
    <t>212.09.2001-212.09.2003-213.02.2101-213.02.3101-213.02.3103-213.02.5001-213.02.5002-213.02.1012-</t>
  </si>
  <si>
    <t>Tributos Causados y No Pagados y/o Pagados en el Ej. Actual y Causados en el Ej. Anterior</t>
  </si>
  <si>
    <t>121.01.1004-121.01.2004-</t>
  </si>
  <si>
    <t>Tributos Pagados y No Causados y/o Causados en el Ej. Actual y Pagados en el Ej. Anterior</t>
  </si>
  <si>
    <t>711.XX.X998-712.XX.X998-713.XX.X998-</t>
  </si>
  <si>
    <t>Gastos No Deducibles, según Anexo N°13</t>
  </si>
  <si>
    <t>71-</t>
  </si>
  <si>
    <t>Gastos Generales, según Cuadro de Gastos Generales</t>
  </si>
  <si>
    <t>C8</t>
  </si>
  <si>
    <t>713.08-713.09-711.01.1002-711.03.1003-713.18.2-713.56.3901-714.01.3002-714.01.3003-714.01.3004-714.01.3006-714.01.3007-714.01.3008-</t>
  </si>
  <si>
    <t>212.09.3002-212.09.3102-212.09.3202-212.09.3302-212.09.7002-</t>
  </si>
  <si>
    <t>Gastos de Conservación Causados y No Pagados y/o Pagados en el Ej. Actual y Causados en el Ej. Anterior</t>
  </si>
  <si>
    <t>713.09-</t>
  </si>
  <si>
    <t>Gastos de Conservación, según Cuadro de Gastos Generales</t>
  </si>
  <si>
    <t>212.09.3001-212.09.3101-212.09.3201-212.09.3301-212.09.7001-</t>
  </si>
  <si>
    <t>Gastos de Administración Causados y No Pagados y/o Pagados en el Ej. Actual y Causados en el Ej. Anterior</t>
  </si>
  <si>
    <t>713.08-</t>
  </si>
  <si>
    <t>Gastos de Administración, según Cuadro de Gastos Generales</t>
  </si>
  <si>
    <t>1XX.XX.X995-2XX.XX.X995-</t>
  </si>
  <si>
    <t>Diferencial Cambiario No Realizado o (Realizado)</t>
  </si>
  <si>
    <t>C3</t>
  </si>
  <si>
    <t>114.01.1303-</t>
  </si>
  <si>
    <t>Arrendamientos Devengados y No Cobrados y/o Cobrados en el Ej. Actual y Devengados en el Ej. Anterior</t>
  </si>
  <si>
    <t>611.14-</t>
  </si>
  <si>
    <t>Arrendamientos Ganados</t>
  </si>
  <si>
    <t>___ Cuota Venta a Plazos</t>
  </si>
  <si>
    <t>611.12-611.22-</t>
  </si>
  <si>
    <t xml:space="preserve">Reclasificación Saldo Deudor Cuenta Cambio/Ingreso Por Operac. Financieras  </t>
  </si>
  <si>
    <t>611.XX.2-611.XX.3-</t>
  </si>
  <si>
    <t>Ingresos No Gravables según Anexo N° 13</t>
  </si>
  <si>
    <t>611.01-611.02-611.03-611.04-611.05-611.06-611.07-611.08-611.09-611.10-611.11-611.12-611.13-611.15-611.16-611.17-611.18-611.19-611.20-611.21-611.22-611.23-611.24-</t>
  </si>
  <si>
    <t>Otros Ingresos Mercantiles, según Cuadro de Demostración del Resultado</t>
  </si>
  <si>
    <t xml:space="preserve">N </t>
  </si>
  <si>
    <t>C4</t>
  </si>
  <si>
    <t>511.XX.1998-512.XX.1998-</t>
  </si>
  <si>
    <t>Costo de Ventas No Deducibles</t>
  </si>
  <si>
    <t>51-</t>
  </si>
  <si>
    <t>Costo de Ventas según Cuadro de Demostración del Resultado</t>
  </si>
  <si>
    <t>41-</t>
  </si>
  <si>
    <t>Ventas según Cuadro de Demostración del Resultado</t>
  </si>
  <si>
    <t>511.32-</t>
  </si>
  <si>
    <t>Costo de Ventas de Acciones</t>
  </si>
  <si>
    <t>411.32-</t>
  </si>
  <si>
    <t xml:space="preserve">Venta de Acciones </t>
  </si>
  <si>
    <t xml:space="preserve">No. </t>
  </si>
  <si>
    <t>Comercial</t>
  </si>
  <si>
    <t>Renta Comercial</t>
  </si>
  <si>
    <t>Neta</t>
  </si>
  <si>
    <t>Bruta</t>
  </si>
  <si>
    <t>Brutos</t>
  </si>
  <si>
    <t>Cuenta</t>
  </si>
  <si>
    <t>Renta</t>
  </si>
  <si>
    <t>Conciliación c/</t>
  </si>
  <si>
    <t>Renta Fiscal</t>
  </si>
  <si>
    <t>Deducciones</t>
  </si>
  <si>
    <t>Costos</t>
  </si>
  <si>
    <t>Ingresos</t>
  </si>
  <si>
    <t>Totales:</t>
  </si>
  <si>
    <t>Sub-total:</t>
  </si>
  <si>
    <t>Liberación Reserva Ley del Deporte</t>
  </si>
  <si>
    <t>612.01.1046</t>
  </si>
  <si>
    <t>LIB.RESERVA P/BENEFICIOS SOCIALES</t>
  </si>
  <si>
    <t>612.01.1044</t>
  </si>
  <si>
    <t>Liberación Reserva p/Bono Vacacional</t>
  </si>
  <si>
    <t>612.01.1009</t>
  </si>
  <si>
    <t>714.01.3006</t>
  </si>
  <si>
    <t>714.01.3004</t>
  </si>
  <si>
    <t>714.01.1050</t>
  </si>
  <si>
    <t>714.01.1049</t>
  </si>
  <si>
    <t>714.01.1046</t>
  </si>
  <si>
    <t>714.01.1045</t>
  </si>
  <si>
    <t>714.01.1033</t>
  </si>
  <si>
    <t>714.01.1009</t>
  </si>
  <si>
    <t>Aporte Ley de Deporte ND</t>
  </si>
  <si>
    <t>713.60.1998</t>
  </si>
  <si>
    <t>Gtos Ocasionales p/Trabajadores ND</t>
  </si>
  <si>
    <t>713.52.1998</t>
  </si>
  <si>
    <t>Gastos Bancarios ND</t>
  </si>
  <si>
    <t>713.50.1998</t>
  </si>
  <si>
    <t>Gastos de Vehiculos ND</t>
  </si>
  <si>
    <t>713.44.1998</t>
  </si>
  <si>
    <t>Gastos de Viajes ND</t>
  </si>
  <si>
    <t>713.43.1998</t>
  </si>
  <si>
    <t>Material y Servicios Internos ND</t>
  </si>
  <si>
    <t>713.37.1998</t>
  </si>
  <si>
    <t>Corriente y Combustibles ND</t>
  </si>
  <si>
    <t>713.35.1998</t>
  </si>
  <si>
    <t>Articulos y Material de Oficinas ND</t>
  </si>
  <si>
    <t>713.33.1998</t>
  </si>
  <si>
    <t>Gastos de Transportes ND</t>
  </si>
  <si>
    <t>713.31.1998</t>
  </si>
  <si>
    <t>Telefonos y Gastos Conexiones ND</t>
  </si>
  <si>
    <t>713.30.1998</t>
  </si>
  <si>
    <t>Portes y Encomiendas ND</t>
  </si>
  <si>
    <t>713.29.1998</t>
  </si>
  <si>
    <t>Comisión Varias ND</t>
  </si>
  <si>
    <t>713.22.1998</t>
  </si>
  <si>
    <t>Consultas y Asesorias ND</t>
  </si>
  <si>
    <t>713.18.1998</t>
  </si>
  <si>
    <t>Reparaciones Edificios ND</t>
  </si>
  <si>
    <t>713.11.1998</t>
  </si>
  <si>
    <t>Gastos de Alquileres ND</t>
  </si>
  <si>
    <t>713.10.1998</t>
  </si>
  <si>
    <t>Perdida p/Venta o Retiro Activo ND</t>
  </si>
  <si>
    <t>713.06.1998</t>
  </si>
  <si>
    <t>Contribuciones Gubernamentales ND</t>
  </si>
  <si>
    <t>713.04.1998</t>
  </si>
  <si>
    <t>Intereses Gastos ND</t>
  </si>
  <si>
    <t>712.01.1998</t>
  </si>
  <si>
    <t>Gastos Generales No Deducibles</t>
  </si>
  <si>
    <t>Gastos de Conservación por Pagar en ME</t>
  </si>
  <si>
    <t>212.09.7002</t>
  </si>
  <si>
    <t>Gastos de Conservación por pagar</t>
  </si>
  <si>
    <t>212.09.3302</t>
  </si>
  <si>
    <t>212.09.3202</t>
  </si>
  <si>
    <t>212.09.3102</t>
  </si>
  <si>
    <t>212.09.3002</t>
  </si>
  <si>
    <t>Saldo Gastos de Conservación Causados y No Pagados y/o Pagados en el Ejercicio Actual y Causados en el Ejercicio Anterior</t>
  </si>
  <si>
    <t>Gastos de Administración por Pagar en ME</t>
  </si>
  <si>
    <t>212.09.7001</t>
  </si>
  <si>
    <t>Gastos de Administración por pagar</t>
  </si>
  <si>
    <t>212.09.3301</t>
  </si>
  <si>
    <t>212.09.3201</t>
  </si>
  <si>
    <t>212.09.3101</t>
  </si>
  <si>
    <t>212.09.3001</t>
  </si>
  <si>
    <t>Saldo Gastos de Administración Causados y No Pagados y/o Pagados en el Ejercicio Actual y Causados en el Ejercicio Anterior</t>
  </si>
  <si>
    <t>Arrendamientos por Cobrar No Facturados</t>
  </si>
  <si>
    <t>114.01.1303</t>
  </si>
  <si>
    <t>Saldo de Arrendamientos Devengados y No Cobrados y/o Cobrados en el Ejercicio Actual y Devengados en el Ejercicio Anterior</t>
  </si>
  <si>
    <t>Vacaciones por Pagar</t>
  </si>
  <si>
    <t>212.09.1010</t>
  </si>
  <si>
    <t>Nómina por Pagar</t>
  </si>
  <si>
    <t>212.09.1006</t>
  </si>
  <si>
    <t xml:space="preserve">Utilidades Contractuales por Pagar </t>
  </si>
  <si>
    <t>212.05.3002</t>
  </si>
  <si>
    <t>Utilidades Legales por Pagar</t>
  </si>
  <si>
    <t>212.05.3001</t>
  </si>
  <si>
    <t>Cuenta en Suspenso</t>
  </si>
  <si>
    <t>212.05.1069</t>
  </si>
  <si>
    <t>Saldo de Remuneraciones Causadas y No Pagadas y/o Pagadas en el Ejercicio Actual y Causadas en el Ejercicio Anterior</t>
  </si>
  <si>
    <t>Gastos Causados por Pagar - Dif. En Cambio NR</t>
  </si>
  <si>
    <t>212.09.9995</t>
  </si>
  <si>
    <t>212.09.8995</t>
  </si>
  <si>
    <t>Gastos Causados Cías. Com. por Pagar-ME - Dif. En Cambio NR</t>
  </si>
  <si>
    <t>212.09.7995</t>
  </si>
  <si>
    <t>Gastos Causados por Pagar en ME - Dif. En Cambio NR</t>
  </si>
  <si>
    <t>212.09.6995</t>
  </si>
  <si>
    <t>Gastos Causados por Pagar - Dif. Cambio No Realiz.</t>
  </si>
  <si>
    <t>212.09.1995</t>
  </si>
  <si>
    <t>Proveedores por Pagar - Dif. Cambio No Realiz.</t>
  </si>
  <si>
    <t>212.07.9995</t>
  </si>
  <si>
    <t>Prov. d/Bienes y Servicios p/Pagar en ME  - Dif. Cambio No Realiz.</t>
  </si>
  <si>
    <t>212.07.8995</t>
  </si>
  <si>
    <t>Proveedores d/Mcia En el Exterior- Dif.Cambio NR</t>
  </si>
  <si>
    <t>212.07.7995</t>
  </si>
  <si>
    <t>Proveedores d/Mcia En el País en ME- Dif.Cambio NR</t>
  </si>
  <si>
    <t>212.07.6995</t>
  </si>
  <si>
    <t>212.07.2995</t>
  </si>
  <si>
    <t>212.07.1995</t>
  </si>
  <si>
    <t>Acreedores Navieros en ME- Dif.Cambio NR</t>
  </si>
  <si>
    <t>212.06.9995</t>
  </si>
  <si>
    <t>212.06.8995</t>
  </si>
  <si>
    <t>212.06.7995</t>
  </si>
  <si>
    <t>212.06.6995</t>
  </si>
  <si>
    <t>Acreedores Navieros - Dif.Cambio NR</t>
  </si>
  <si>
    <t>212.06.1995</t>
  </si>
  <si>
    <t>Otras Ctas p/Pagar ME - Dif. En Cambio NR</t>
  </si>
  <si>
    <t>212.05.9995</t>
  </si>
  <si>
    <t>Acreedores Varios en ME - Dif. En Cambio NR</t>
  </si>
  <si>
    <t>212.05.8995</t>
  </si>
  <si>
    <t>Otras Ctas p/Pagar Cías. Comerc. ME - Dif. En Cambio NR</t>
  </si>
  <si>
    <t>212.05.7995</t>
  </si>
  <si>
    <t>Prestamos por Pagar en ME - Dif. En Cambio NR</t>
  </si>
  <si>
    <t>212.05.6995</t>
  </si>
  <si>
    <t>212.05.5995</t>
  </si>
  <si>
    <t>Cuenta por Pagar - Cías Relacionadas Dif Cambio NR</t>
  </si>
  <si>
    <t>212.05.2995</t>
  </si>
  <si>
    <t>Cuentas por Pagar - Dif. Cambio No Realiz.</t>
  </si>
  <si>
    <t>212.05.1995</t>
  </si>
  <si>
    <t>Bancos Pais (Haber) - Dif. Cambio No Realiz.</t>
  </si>
  <si>
    <t>212.01.9995</t>
  </si>
  <si>
    <t>212.01.8995</t>
  </si>
  <si>
    <t>212.01.7995</t>
  </si>
  <si>
    <t>212.01.6995</t>
  </si>
  <si>
    <t>212.01.3995</t>
  </si>
  <si>
    <t>Efectos por Pagar en ME - Dif. En Cambio NR</t>
  </si>
  <si>
    <t>211.01.9995</t>
  </si>
  <si>
    <t>211.01.8995</t>
  </si>
  <si>
    <t>211.01.7995</t>
  </si>
  <si>
    <t>211.01.6995</t>
  </si>
  <si>
    <t>Criptoactivos - Dif. En Cambio NR</t>
  </si>
  <si>
    <t>171.01.9995</t>
  </si>
  <si>
    <t>171.01.8995</t>
  </si>
  <si>
    <t>171.01.7995</t>
  </si>
  <si>
    <t>171.01.6995</t>
  </si>
  <si>
    <t>Envios en Tránsito Dif. Cambio No Realiz.</t>
  </si>
  <si>
    <t>115.07.1995</t>
  </si>
  <si>
    <t>Avances p/Fut.compras - Dif. En Cambio NR</t>
  </si>
  <si>
    <t>114.05.9995</t>
  </si>
  <si>
    <t>114.05.8995</t>
  </si>
  <si>
    <t>Avances p/Fut.compras Otros en ME-Dif. En Cambio NR</t>
  </si>
  <si>
    <t>114.05.7995</t>
  </si>
  <si>
    <t>Avances p/Fut.compras en el Exterior-Dif. En Cambio NR</t>
  </si>
  <si>
    <t>114.05.6995</t>
  </si>
  <si>
    <t>114.05.4995</t>
  </si>
  <si>
    <t>114.05.2995</t>
  </si>
  <si>
    <t>Avances Fut.Compras Locales-Dif. En Cambio NR</t>
  </si>
  <si>
    <t>114.05.1995</t>
  </si>
  <si>
    <t>Cuenta de Viajes - Dif. Cambio No Realiz.</t>
  </si>
  <si>
    <t>114.03.9995</t>
  </si>
  <si>
    <t>114.03.8995</t>
  </si>
  <si>
    <t>114.03.7995</t>
  </si>
  <si>
    <t>114.03.6995</t>
  </si>
  <si>
    <t>Deudores Empleados - Dif. Cambio No Realiz.</t>
  </si>
  <si>
    <t>114.02.9995</t>
  </si>
  <si>
    <t>114.02.8995</t>
  </si>
  <si>
    <t>114.02.7995</t>
  </si>
  <si>
    <t>114.02.6995</t>
  </si>
  <si>
    <t>Otras Cuentas p/Cobrar en ME - Dif. En Cambio NR</t>
  </si>
  <si>
    <t>114.01.9995</t>
  </si>
  <si>
    <t>Prestamos por Cobrar en ME - Dif. En Cambio NR</t>
  </si>
  <si>
    <t>114.01.8995</t>
  </si>
  <si>
    <t>Cuentas por Cobrar en ME - Dif. En Cambio NR</t>
  </si>
  <si>
    <t>114.01.7995</t>
  </si>
  <si>
    <t>Otras Cuentas p/Cobrar Cías. Comerc. ME - Dif. En Cambio NR</t>
  </si>
  <si>
    <t>114.01.6995</t>
  </si>
  <si>
    <t>114.01.5995</t>
  </si>
  <si>
    <t>114.01.4995</t>
  </si>
  <si>
    <t>Cuenta por Cobrar - Cías Relacionadas Dif Cambio NR</t>
  </si>
  <si>
    <t>114.01.2995</t>
  </si>
  <si>
    <t>Cuentas por Cobrar - Dif. Cambio No Realiz.</t>
  </si>
  <si>
    <t>114.01.1995</t>
  </si>
  <si>
    <t>Cuenta Garantía en ME - Dif. En Cambio NR</t>
  </si>
  <si>
    <t>113.09.9995</t>
  </si>
  <si>
    <t>113.09.8995</t>
  </si>
  <si>
    <t>113.09.7995</t>
  </si>
  <si>
    <t>113.09.6995</t>
  </si>
  <si>
    <t>Deudores por Servicios en ME - Dif. En Cambio NR</t>
  </si>
  <si>
    <t>113.04.9995</t>
  </si>
  <si>
    <t>113.04.8995</t>
  </si>
  <si>
    <t>113.04.7995</t>
  </si>
  <si>
    <t>113.04.6995</t>
  </si>
  <si>
    <t>Deudores por Servicios - Dif. En Cambio NR</t>
  </si>
  <si>
    <t>113.04.1995</t>
  </si>
  <si>
    <t>Deudores Líneas Navieras en ME - Dif. En Cambio NR</t>
  </si>
  <si>
    <t>113.03.9995</t>
  </si>
  <si>
    <t>113.03.8995</t>
  </si>
  <si>
    <t>113.03.7995</t>
  </si>
  <si>
    <t>113.03.6995</t>
  </si>
  <si>
    <t>Deudores Líneas Navieras - Dif. En Cambio NR</t>
  </si>
  <si>
    <t>113.03.1995</t>
  </si>
  <si>
    <t>Deudores por Aduana en ME - Dif. En Cambio NR</t>
  </si>
  <si>
    <t>113.02.9995</t>
  </si>
  <si>
    <t>113.02.8995</t>
  </si>
  <si>
    <t>113.02.7995</t>
  </si>
  <si>
    <t>113.02.6995</t>
  </si>
  <si>
    <t>Deudores por Vtas Mcias en ME - Dif. En Cambio NR</t>
  </si>
  <si>
    <t>113.01.9995</t>
  </si>
  <si>
    <t>113.01.8995</t>
  </si>
  <si>
    <t>113.01.7995</t>
  </si>
  <si>
    <t>113.01.6995</t>
  </si>
  <si>
    <t>Efectos por Cobrar en ME - Dif. En Cambio NR</t>
  </si>
  <si>
    <t>112.01.9995</t>
  </si>
  <si>
    <t>112.01.8995</t>
  </si>
  <si>
    <t>112.01.7995</t>
  </si>
  <si>
    <t>112.01.6995</t>
  </si>
  <si>
    <t>Monederos Electrónicos en ME - Dif. En Cambio NR</t>
  </si>
  <si>
    <t>111.06.9995</t>
  </si>
  <si>
    <t>111.06.8995</t>
  </si>
  <si>
    <t>111.06.7995</t>
  </si>
  <si>
    <t>111.06.6995</t>
  </si>
  <si>
    <t>111.06.2995</t>
  </si>
  <si>
    <t>Inversiones a Plazo en ME - Dif. En Cambio NR</t>
  </si>
  <si>
    <t>111.05.9995</t>
  </si>
  <si>
    <t>111.05.8995</t>
  </si>
  <si>
    <t>111.05.7995</t>
  </si>
  <si>
    <t>111.05.6995</t>
  </si>
  <si>
    <t>111.05.3995</t>
  </si>
  <si>
    <t>Inversiones a Plazo - Dif. Cambio No Realiz.</t>
  </si>
  <si>
    <t>111.05.2995</t>
  </si>
  <si>
    <t>Fondo en Transito en ME - Dif. En Cambio NR</t>
  </si>
  <si>
    <t>111.04.9995</t>
  </si>
  <si>
    <t>111.04.8995</t>
  </si>
  <si>
    <t>111.04.7995</t>
  </si>
  <si>
    <t>111.04.6995</t>
  </si>
  <si>
    <t>111.04.2995</t>
  </si>
  <si>
    <t>Bancos Exterior Dif. Cambio No Realiz.</t>
  </si>
  <si>
    <t>111.03.9995</t>
  </si>
  <si>
    <t>111.03.8995</t>
  </si>
  <si>
    <t>111.03.7995</t>
  </si>
  <si>
    <t>111.03.6995</t>
  </si>
  <si>
    <t>111.03.2995</t>
  </si>
  <si>
    <t>111.03.1995</t>
  </si>
  <si>
    <t>Bancos Pais - Dif. Cambio No Realiz.</t>
  </si>
  <si>
    <t>111.02.9995</t>
  </si>
  <si>
    <t>111.02.8995</t>
  </si>
  <si>
    <t>111.02.7995</t>
  </si>
  <si>
    <t>111.02.6995</t>
  </si>
  <si>
    <t>111.02.2995</t>
  </si>
  <si>
    <t>Caja Moneda Ext. - Dif. Cambio No Realiz.</t>
  </si>
  <si>
    <t>111.01.9995</t>
  </si>
  <si>
    <t>111.01.8995</t>
  </si>
  <si>
    <t>111.01.7995</t>
  </si>
  <si>
    <t>111.01.6995</t>
  </si>
  <si>
    <t>111.01.2995</t>
  </si>
  <si>
    <t>Saldo de Diferencia en Cambio No Realizada y/o Realizada</t>
  </si>
  <si>
    <t>Ley Orgánica de Drogas por Pagar</t>
  </si>
  <si>
    <t>213.02.5002</t>
  </si>
  <si>
    <t>LOCTI por pagar</t>
  </si>
  <si>
    <t>213.02.5001</t>
  </si>
  <si>
    <t>Ahorro Habitacional Aporte Compañía</t>
  </si>
  <si>
    <t>213.02.3103</t>
  </si>
  <si>
    <t>INCE Aporte Compañía</t>
  </si>
  <si>
    <t>213.02.3101</t>
  </si>
  <si>
    <t>S.S.O. Aporte Compañía</t>
  </si>
  <si>
    <t>213.02.2101</t>
  </si>
  <si>
    <t>INATUR por Pagar</t>
  </si>
  <si>
    <t>213.02.1012</t>
  </si>
  <si>
    <t>Impuesto Inmobiliario por pagar</t>
  </si>
  <si>
    <t>212.09.2003</t>
  </si>
  <si>
    <t>Patente de Industria y Comercio por pagar</t>
  </si>
  <si>
    <t>212.09.2001</t>
  </si>
  <si>
    <t>Saldo de Tributos Causados y No Pagados y/o Tributos Pagados en el Ejercicio Actual y Causados en el Ejercicio Anterior</t>
  </si>
  <si>
    <t>Amortización del Impuesto Municipal Pagado por Anticipado</t>
  </si>
  <si>
    <t>121.01.2004</t>
  </si>
  <si>
    <t>Impuesto Municipal Pagado por Anticipado</t>
  </si>
  <si>
    <t>121.01.1004</t>
  </si>
  <si>
    <t>Saldo de Tributos Pagados y No Causados y/o Tributos Causados en el Ejercicio Actual y Pagados en el Ejercicio Anterior</t>
  </si>
  <si>
    <t>Movimiento</t>
  </si>
  <si>
    <t xml:space="preserve">Saldo al </t>
  </si>
  <si>
    <t>ESPECIFICACIÓN DE PARTIDAS NO DEDUCIBLES Y/O NO GRAVABLES</t>
  </si>
  <si>
    <t>213.01.1011-271.02.1001-</t>
  </si>
  <si>
    <t>Impuesto Diferido Pasivo (IDP)</t>
  </si>
  <si>
    <t>114.04.1009-181.02.1001-</t>
  </si>
  <si>
    <t xml:space="preserve">Gasto Impuesto Diferido al 30/4/2024 </t>
  </si>
  <si>
    <t>Impuesto Diferido Activo (IDA)</t>
  </si>
  <si>
    <t>IDA</t>
  </si>
  <si>
    <t>Rebajas por Nuevas Inversiones</t>
  </si>
  <si>
    <t>Litigios Pendientes</t>
  </si>
  <si>
    <t>Pérdidas Fiscales Trasladables</t>
  </si>
  <si>
    <t>Impuesto Diferido:</t>
  </si>
  <si>
    <t>131.09</t>
  </si>
  <si>
    <t>115.09</t>
  </si>
  <si>
    <t>114.09</t>
  </si>
  <si>
    <t>113.09</t>
  </si>
  <si>
    <t>Provisiones</t>
  </si>
  <si>
    <t>IDP</t>
  </si>
  <si>
    <t>Tasa</t>
  </si>
  <si>
    <t>ESPECIFICACIÓN PARTIDAS BASE PARA CÁLCULO DEL IMPUESTO DIFERIDO</t>
  </si>
  <si>
    <t>Moneda local - Saldo</t>
  </si>
  <si>
    <t>Saldo al 30/6/2024</t>
  </si>
  <si>
    <t xml:space="preserve">Saldo al 30/6/2024 </t>
  </si>
  <si>
    <t>Cuenta Garantía - Líneas Navieras</t>
  </si>
  <si>
    <t>Cuenta Garantía en ME - Líneas Navieras</t>
  </si>
  <si>
    <t>Gastos por Amortización ND</t>
  </si>
  <si>
    <t>Atenciones y Obsequios al Personal ND</t>
  </si>
  <si>
    <t>Cuenta de</t>
  </si>
  <si>
    <t>x</t>
  </si>
  <si>
    <t>714.01.1026</t>
  </si>
  <si>
    <t xml:space="preserve">RENTA COMERCIAL Y FISCAL </t>
  </si>
  <si>
    <t xml:space="preserve">EN BS. </t>
  </si>
  <si>
    <t>Apartados</t>
  </si>
  <si>
    <t>Calculo</t>
  </si>
  <si>
    <t>Acumulado</t>
  </si>
  <si>
    <t>LOCTI</t>
  </si>
  <si>
    <t>ISLR</t>
  </si>
  <si>
    <t>Ley de Deporte</t>
  </si>
  <si>
    <t>Impuesto diferido</t>
  </si>
  <si>
    <t> Fecha</t>
  </si>
  <si>
    <t>Compañía</t>
  </si>
  <si>
    <t>DIF</t>
  </si>
  <si>
    <t>Renta fiscal</t>
  </si>
  <si>
    <t>Gastos generales</t>
  </si>
  <si>
    <t xml:space="preserve">611- Otros ingresos mercantiles </t>
  </si>
  <si>
    <t>612 - Liberaciones de reservas</t>
  </si>
  <si>
    <t>711 - Gastos por personal</t>
  </si>
  <si>
    <t>712- Gastos financiero</t>
  </si>
  <si>
    <t>713 - Otros gastos generales</t>
  </si>
  <si>
    <t>714 - Apartados y reservas</t>
  </si>
  <si>
    <t>GANANCIA (PÉRDIDA) DEL EJERCICIO:</t>
  </si>
  <si>
    <t>APARTADO PARA IMPUESTO SOBRE LA RENTA</t>
  </si>
  <si>
    <t>711.09.3998</t>
  </si>
  <si>
    <t>Salud y Seguridad Laboral - ND</t>
  </si>
  <si>
    <t>713.04.2998</t>
  </si>
  <si>
    <t>I.T.F - No Deducibles</t>
  </si>
  <si>
    <t>I.G.T.F. No Deducibles - Pagos en ME</t>
  </si>
  <si>
    <t>713.14.3998</t>
  </si>
  <si>
    <t>Seguros Varios ND</t>
  </si>
  <si>
    <t>713.21.1998</t>
  </si>
  <si>
    <t>Honorarios ND</t>
  </si>
  <si>
    <t>713.26.1998</t>
  </si>
  <si>
    <t>Atenciones a Relacionados ND</t>
  </si>
  <si>
    <t>713.34.1998</t>
  </si>
  <si>
    <t>Periodicos, Revistas y Libros ND</t>
  </si>
  <si>
    <t>713.41.1998</t>
  </si>
  <si>
    <t>Gastos Equipos de Computación ND</t>
  </si>
  <si>
    <t>713.53.1998</t>
  </si>
  <si>
    <t>Gastos de Aprendizajes ND</t>
  </si>
  <si>
    <t>NOMINA POR PAGAR - ME</t>
  </si>
  <si>
    <t>Liquidaciones pendientes por Pagar</t>
  </si>
  <si>
    <t>RESERVA PRUDENCIAL</t>
  </si>
  <si>
    <t>RESERVA P/BONO VACACIONAL</t>
  </si>
  <si>
    <t>RESERVA P/CONTINGENCIAS NAVIERAS</t>
  </si>
  <si>
    <t>APARTADO P/DEUDORES POR VENTAS</t>
  </si>
  <si>
    <t>RESERVA P/BENEFICIOS SOCIALES</t>
  </si>
  <si>
    <t>RESERVA LEY DEL DEPORTE</t>
  </si>
  <si>
    <t>IMPUESTO SOBRE LA RENTA (DIFERIDO)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</si>
</sst>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(* #,##0.00_);_(* \(#,##0.00\);_(* &quot;-&quot;??_);_(@_)"/>
    <numFmt numFmtId="165" formatCode="_(* \(#,##0.00\)_);_(* #,##0.00\ \ ;_(* &quot;-&quot;??_);_(@_)"/>
    <numFmt numFmtId="166" formatCode="#,##0.00\ ;#,##0.00\-"/>
    <numFmt numFmtId="167" formatCode="dd/mm/yy;@"/>
    <numFmt numFmtId="168" formatCode="0.0000"/>
  </numFmts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rgb="FF000000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b/>
      <sz val="8"/>
      <name val="Arial"/>
      <family val="2"/>
    </font>
    <font>
      <u/>
      <sz val="8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sz val="8"/>
      <color indexed="63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Arial"/>
      <family val="2"/>
    </font>
    <font>
      <b/>
      <sz val="8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tted">
        <color indexed="8"/>
      </top>
      <bottom style="dotted">
        <color indexed="8"/>
      </bottom>
      <diagonal/>
    </border>
    <border>
      <left/>
      <right style="thin">
        <color indexed="8"/>
      </right>
      <top style="dotted">
        <color indexed="8"/>
      </top>
      <bottom style="dotted">
        <color indexed="8"/>
      </bottom>
      <diagonal/>
    </border>
    <border>
      <left/>
      <right/>
      <top style="dotted">
        <color indexed="8"/>
      </top>
      <bottom style="dotted">
        <color indexed="8"/>
      </bottom>
      <diagonal/>
    </border>
    <border>
      <left style="thin">
        <color indexed="8"/>
      </left>
      <right/>
      <top style="dotted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dotted">
        <color indexed="8"/>
      </bottom>
      <diagonal/>
    </border>
    <border>
      <left/>
      <right/>
      <top/>
      <bottom style="dotted">
        <color indexed="8"/>
      </bottom>
      <diagonal/>
    </border>
    <border>
      <left/>
      <right/>
      <top style="dotted">
        <color indexed="8"/>
      </top>
      <bottom/>
      <diagonal/>
    </border>
    <border>
      <left style="thin">
        <color indexed="8"/>
      </left>
      <right/>
      <top style="dotted">
        <color indexed="8"/>
      </top>
      <bottom style="dotted">
        <color indexed="8"/>
      </bottom>
      <diagonal/>
    </border>
    <border>
      <left style="thin">
        <color indexed="8"/>
      </left>
      <right style="thin">
        <color indexed="8"/>
      </right>
      <top style="dotted">
        <color indexed="8"/>
      </top>
      <bottom/>
      <diagonal/>
    </border>
    <border>
      <left/>
      <right style="thin">
        <color indexed="8"/>
      </right>
      <top/>
      <bottom style="dotted">
        <color indexed="8"/>
      </bottom>
      <diagonal/>
    </border>
    <border>
      <left style="thin">
        <color indexed="8"/>
      </left>
      <right/>
      <top/>
      <bottom style="dotted">
        <color indexed="8"/>
      </bottom>
      <diagonal/>
    </border>
    <border>
      <left/>
      <right style="thin">
        <color indexed="8"/>
      </right>
      <top style="thin">
        <color indexed="8"/>
      </top>
      <bottom style="dotted">
        <color indexed="8"/>
      </bottom>
      <diagonal/>
    </border>
    <border>
      <left/>
      <right/>
      <top style="thin">
        <color indexed="8"/>
      </top>
      <bottom style="dotted">
        <color indexed="8"/>
      </bottom>
      <diagonal/>
    </border>
    <border>
      <left style="thin">
        <color indexed="8"/>
      </left>
      <right/>
      <top style="thin">
        <color indexed="8"/>
      </top>
      <bottom style="dotted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0" fontId="18" fillId="0" borderId="0"/>
  </cellStyleXfs>
  <cellXfs count="196">
    <xf numFmtId="0" fontId="0" fillId="0" borderId="0" xfId="0"/>
    <xf numFmtId="43" fontId="0" fillId="0" borderId="0" xfId="42" applyFont="1" applyFill="1"/>
    <xf numFmtId="43" fontId="0" fillId="0" borderId="0" xfId="42" applyFont="1"/>
    <xf numFmtId="0" fontId="25" fillId="33" borderId="0" xfId="43" applyFont="1" applyFill="1"/>
    <xf numFmtId="0" fontId="25" fillId="33" borderId="0" xfId="43" applyFont="1" applyFill="1" applyAlignment="1">
      <alignment vertical="center"/>
    </xf>
    <xf numFmtId="49" fontId="19" fillId="33" borderId="43" xfId="43" applyNumberFormat="1" applyFont="1" applyFill="1" applyBorder="1"/>
    <xf numFmtId="0" fontId="19" fillId="33" borderId="42" xfId="43" applyFont="1" applyFill="1" applyBorder="1"/>
    <xf numFmtId="0" fontId="19" fillId="33" borderId="24" xfId="43" applyFont="1" applyFill="1" applyBorder="1" applyAlignment="1">
      <alignment horizontal="center"/>
    </xf>
    <xf numFmtId="0" fontId="19" fillId="33" borderId="42" xfId="43" applyFont="1" applyFill="1" applyBorder="1" applyAlignment="1">
      <alignment horizontal="center"/>
    </xf>
    <xf numFmtId="0" fontId="19" fillId="33" borderId="0" xfId="43" applyFont="1" applyFill="1"/>
    <xf numFmtId="49" fontId="19" fillId="33" borderId="17" xfId="43" applyNumberFormat="1" applyFont="1" applyFill="1" applyBorder="1"/>
    <xf numFmtId="0" fontId="19" fillId="33" borderId="16" xfId="43" applyFont="1" applyFill="1" applyBorder="1"/>
    <xf numFmtId="0" fontId="19" fillId="33" borderId="14" xfId="43" applyFont="1" applyFill="1" applyBorder="1" applyAlignment="1">
      <alignment horizontal="center"/>
    </xf>
    <xf numFmtId="0" fontId="19" fillId="33" borderId="16" xfId="43" applyFont="1" applyFill="1" applyBorder="1" applyAlignment="1">
      <alignment horizontal="center"/>
    </xf>
    <xf numFmtId="49" fontId="23" fillId="33" borderId="41" xfId="43" applyNumberFormat="1" applyFont="1" applyFill="1" applyBorder="1"/>
    <xf numFmtId="0" fontId="23" fillId="33" borderId="40" xfId="43" applyFont="1" applyFill="1" applyBorder="1"/>
    <xf numFmtId="0" fontId="23" fillId="33" borderId="39" xfId="43" applyFont="1" applyFill="1" applyBorder="1"/>
    <xf numFmtId="165" fontId="19" fillId="33" borderId="18" xfId="43" applyNumberFormat="1" applyFont="1" applyFill="1" applyBorder="1"/>
    <xf numFmtId="165" fontId="19" fillId="33" borderId="0" xfId="43" applyNumberFormat="1" applyFont="1" applyFill="1"/>
    <xf numFmtId="49" fontId="19" fillId="33" borderId="18" xfId="43" applyNumberFormat="1" applyFont="1" applyFill="1" applyBorder="1" applyAlignment="1">
      <alignment horizontal="center" wrapText="1"/>
    </xf>
    <xf numFmtId="49" fontId="19" fillId="33" borderId="35" xfId="43" applyNumberFormat="1" applyFont="1" applyFill="1" applyBorder="1"/>
    <xf numFmtId="0" fontId="19" fillId="33" borderId="30" xfId="43" applyFont="1" applyFill="1" applyBorder="1"/>
    <xf numFmtId="165" fontId="19" fillId="33" borderId="28" xfId="43" applyNumberFormat="1" applyFont="1" applyFill="1" applyBorder="1"/>
    <xf numFmtId="165" fontId="19" fillId="33" borderId="30" xfId="43" applyNumberFormat="1" applyFont="1" applyFill="1" applyBorder="1"/>
    <xf numFmtId="49" fontId="19" fillId="33" borderId="28" xfId="43" applyNumberFormat="1" applyFont="1" applyFill="1" applyBorder="1" applyAlignment="1">
      <alignment horizontal="center" wrapText="1"/>
    </xf>
    <xf numFmtId="49" fontId="19" fillId="33" borderId="21" xfId="43" applyNumberFormat="1" applyFont="1" applyFill="1" applyBorder="1"/>
    <xf numFmtId="49" fontId="22" fillId="33" borderId="35" xfId="43" applyNumberFormat="1" applyFont="1" applyFill="1" applyBorder="1"/>
    <xf numFmtId="164" fontId="19" fillId="33" borderId="28" xfId="43" applyNumberFormat="1" applyFont="1" applyFill="1" applyBorder="1"/>
    <xf numFmtId="49" fontId="23" fillId="33" borderId="35" xfId="43" applyNumberFormat="1" applyFont="1" applyFill="1" applyBorder="1"/>
    <xf numFmtId="0" fontId="23" fillId="33" borderId="30" xfId="43" applyFont="1" applyFill="1" applyBorder="1"/>
    <xf numFmtId="49" fontId="24" fillId="33" borderId="35" xfId="43" applyNumberFormat="1" applyFont="1" applyFill="1" applyBorder="1" applyAlignment="1">
      <alignment horizontal="right"/>
    </xf>
    <xf numFmtId="49" fontId="19" fillId="33" borderId="30" xfId="43" applyNumberFormat="1" applyFont="1" applyFill="1" applyBorder="1"/>
    <xf numFmtId="164" fontId="19" fillId="33" borderId="30" xfId="43" applyNumberFormat="1" applyFont="1" applyFill="1" applyBorder="1"/>
    <xf numFmtId="49" fontId="22" fillId="33" borderId="35" xfId="43" applyNumberFormat="1" applyFont="1" applyFill="1" applyBorder="1" applyAlignment="1">
      <alignment horizontal="right"/>
    </xf>
    <xf numFmtId="49" fontId="19" fillId="33" borderId="29" xfId="43" applyNumberFormat="1" applyFont="1" applyFill="1" applyBorder="1"/>
    <xf numFmtId="49" fontId="22" fillId="33" borderId="35" xfId="43" applyNumberFormat="1" applyFont="1" applyFill="1" applyBorder="1" applyAlignment="1">
      <alignment horizontal="right" vertical="top"/>
    </xf>
    <xf numFmtId="49" fontId="19" fillId="33" borderId="30" xfId="43" applyNumberFormat="1" applyFont="1" applyFill="1" applyBorder="1" applyAlignment="1">
      <alignment wrapText="1"/>
    </xf>
    <xf numFmtId="49" fontId="22" fillId="33" borderId="35" xfId="43" applyNumberFormat="1" applyFont="1" applyFill="1" applyBorder="1" applyAlignment="1">
      <alignment horizontal="left" vertical="top"/>
    </xf>
    <xf numFmtId="165" fontId="19" fillId="33" borderId="28" xfId="0" applyNumberFormat="1" applyFont="1" applyFill="1" applyBorder="1"/>
    <xf numFmtId="49" fontId="19" fillId="33" borderId="28" xfId="43" applyNumberFormat="1" applyFont="1" applyFill="1" applyBorder="1" applyAlignment="1">
      <alignment horizontal="center" vertical="top" wrapText="1"/>
    </xf>
    <xf numFmtId="49" fontId="23" fillId="33" borderId="38" xfId="43" applyNumberFormat="1" applyFont="1" applyFill="1" applyBorder="1"/>
    <xf numFmtId="0" fontId="23" fillId="33" borderId="33" xfId="43" applyFont="1" applyFill="1" applyBorder="1"/>
    <xf numFmtId="0" fontId="23" fillId="33" borderId="37" xfId="43" applyFont="1" applyFill="1" applyBorder="1"/>
    <xf numFmtId="49" fontId="24" fillId="33" borderId="35" xfId="43" applyNumberFormat="1" applyFont="1" applyFill="1" applyBorder="1" applyAlignment="1">
      <alignment horizontal="right" vertical="top"/>
    </xf>
    <xf numFmtId="164" fontId="19" fillId="33" borderId="36" xfId="43" applyNumberFormat="1" applyFont="1" applyFill="1" applyBorder="1"/>
    <xf numFmtId="164" fontId="19" fillId="33" borderId="34" xfId="43" applyNumberFormat="1" applyFont="1" applyFill="1" applyBorder="1"/>
    <xf numFmtId="165" fontId="19" fillId="33" borderId="36" xfId="0" applyNumberFormat="1" applyFont="1" applyFill="1" applyBorder="1"/>
    <xf numFmtId="165" fontId="19" fillId="33" borderId="36" xfId="43" applyNumberFormat="1" applyFont="1" applyFill="1" applyBorder="1"/>
    <xf numFmtId="49" fontId="19" fillId="33" borderId="29" xfId="43" applyNumberFormat="1" applyFont="1" applyFill="1" applyBorder="1" applyAlignment="1">
      <alignment horizontal="right"/>
    </xf>
    <xf numFmtId="165" fontId="19" fillId="33" borderId="23" xfId="43" applyNumberFormat="1" applyFont="1" applyFill="1" applyBorder="1"/>
    <xf numFmtId="165" fontId="19" fillId="33" borderId="23" xfId="0" applyNumberFormat="1" applyFont="1" applyFill="1" applyBorder="1"/>
    <xf numFmtId="164" fontId="19" fillId="33" borderId="32" xfId="43" applyNumberFormat="1" applyFont="1" applyFill="1" applyBorder="1"/>
    <xf numFmtId="164" fontId="19" fillId="33" borderId="33" xfId="43" applyNumberFormat="1" applyFont="1" applyFill="1" applyBorder="1"/>
    <xf numFmtId="0" fontId="19" fillId="33" borderId="28" xfId="43" applyFont="1" applyFill="1" applyBorder="1" applyAlignment="1">
      <alignment horizontal="center" wrapText="1"/>
    </xf>
    <xf numFmtId="49" fontId="19" fillId="33" borderId="31" xfId="43" applyNumberFormat="1" applyFont="1" applyFill="1" applyBorder="1"/>
    <xf numFmtId="165" fontId="19" fillId="33" borderId="32" xfId="43" applyNumberFormat="1" applyFont="1" applyFill="1" applyBorder="1"/>
    <xf numFmtId="49" fontId="19" fillId="33" borderId="34" xfId="43" applyNumberFormat="1" applyFont="1" applyFill="1" applyBorder="1"/>
    <xf numFmtId="165" fontId="19" fillId="33" borderId="29" xfId="43" applyNumberFormat="1" applyFont="1" applyFill="1" applyBorder="1"/>
    <xf numFmtId="49" fontId="19" fillId="33" borderId="27" xfId="43" applyNumberFormat="1" applyFont="1" applyFill="1" applyBorder="1" applyAlignment="1">
      <alignment horizontal="center" vertical="center"/>
    </xf>
    <xf numFmtId="165" fontId="19" fillId="33" borderId="22" xfId="43" applyNumberFormat="1" applyFont="1" applyFill="1" applyBorder="1" applyAlignment="1">
      <alignment vertical="center"/>
    </xf>
    <xf numFmtId="165" fontId="19" fillId="33" borderId="24" xfId="43" applyNumberFormat="1" applyFont="1" applyFill="1" applyBorder="1" applyAlignment="1">
      <alignment vertical="center"/>
    </xf>
    <xf numFmtId="165" fontId="19" fillId="33" borderId="22" xfId="0" applyNumberFormat="1" applyFont="1" applyFill="1" applyBorder="1" applyAlignment="1">
      <alignment vertical="center"/>
    </xf>
    <xf numFmtId="49" fontId="19" fillId="33" borderId="23" xfId="43" applyNumberFormat="1" applyFont="1" applyFill="1" applyBorder="1" applyAlignment="1">
      <alignment horizontal="center" vertical="center" wrapText="1"/>
    </xf>
    <xf numFmtId="43" fontId="19" fillId="33" borderId="0" xfId="43" applyNumberFormat="1" applyFont="1" applyFill="1"/>
    <xf numFmtId="49" fontId="19" fillId="33" borderId="21" xfId="43" applyNumberFormat="1" applyFont="1" applyFill="1" applyBorder="1" applyAlignment="1">
      <alignment vertical="center"/>
    </xf>
    <xf numFmtId="49" fontId="19" fillId="33" borderId="0" xfId="43" applyNumberFormat="1" applyFont="1" applyFill="1" applyAlignment="1">
      <alignment vertical="center"/>
    </xf>
    <xf numFmtId="164" fontId="19" fillId="33" borderId="0" xfId="43" applyNumberFormat="1" applyFont="1" applyFill="1" applyAlignment="1">
      <alignment vertical="center"/>
    </xf>
    <xf numFmtId="164" fontId="19" fillId="33" borderId="0" xfId="43" applyNumberFormat="1" applyFont="1" applyFill="1" applyAlignment="1">
      <alignment horizontal="right" vertical="center"/>
    </xf>
    <xf numFmtId="165" fontId="19" fillId="33" borderId="14" xfId="43" applyNumberFormat="1" applyFont="1" applyFill="1" applyBorder="1" applyAlignment="1">
      <alignment vertical="center"/>
    </xf>
    <xf numFmtId="164" fontId="19" fillId="33" borderId="19" xfId="43" applyNumberFormat="1" applyFont="1" applyFill="1" applyBorder="1" applyAlignment="1">
      <alignment vertical="center"/>
    </xf>
    <xf numFmtId="49" fontId="19" fillId="33" borderId="18" xfId="43" applyNumberFormat="1" applyFont="1" applyFill="1" applyBorder="1" applyAlignment="1">
      <alignment horizontal="center" vertical="center" wrapText="1"/>
    </xf>
    <xf numFmtId="165" fontId="19" fillId="33" borderId="18" xfId="43" applyNumberFormat="1" applyFont="1" applyFill="1" applyBorder="1" applyAlignment="1">
      <alignment vertical="center"/>
    </xf>
    <xf numFmtId="49" fontId="20" fillId="33" borderId="21" xfId="43" applyNumberFormat="1" applyFont="1" applyFill="1" applyBorder="1"/>
    <xf numFmtId="49" fontId="20" fillId="33" borderId="0" xfId="43" applyNumberFormat="1" applyFont="1" applyFill="1"/>
    <xf numFmtId="0" fontId="20" fillId="33" borderId="0" xfId="43" applyFont="1" applyFill="1" applyAlignment="1">
      <alignment horizontal="center"/>
    </xf>
    <xf numFmtId="164" fontId="19" fillId="33" borderId="0" xfId="43" applyNumberFormat="1" applyFont="1" applyFill="1"/>
    <xf numFmtId="164" fontId="19" fillId="33" borderId="19" xfId="43" applyNumberFormat="1" applyFont="1" applyFill="1" applyBorder="1"/>
    <xf numFmtId="49" fontId="19" fillId="33" borderId="0" xfId="43" applyNumberFormat="1" applyFont="1" applyFill="1"/>
    <xf numFmtId="164" fontId="19" fillId="33" borderId="0" xfId="43" applyNumberFormat="1" applyFont="1" applyFill="1" applyAlignment="1">
      <alignment horizontal="right"/>
    </xf>
    <xf numFmtId="49" fontId="19" fillId="33" borderId="0" xfId="43" applyNumberFormat="1" applyFont="1" applyFill="1" applyAlignment="1">
      <alignment horizontal="right"/>
    </xf>
    <xf numFmtId="164" fontId="19" fillId="33" borderId="20" xfId="43" applyNumberFormat="1" applyFont="1" applyFill="1" applyBorder="1" applyAlignment="1">
      <alignment horizontal="right"/>
    </xf>
    <xf numFmtId="4" fontId="19" fillId="33" borderId="16" xfId="43" applyNumberFormat="1" applyFont="1" applyFill="1" applyBorder="1"/>
    <xf numFmtId="0" fontId="19" fillId="33" borderId="15" xfId="43" applyFont="1" applyFill="1" applyBorder="1"/>
    <xf numFmtId="49" fontId="19" fillId="33" borderId="14" xfId="43" applyNumberFormat="1" applyFont="1" applyFill="1" applyBorder="1" applyAlignment="1">
      <alignment horizontal="center" wrapText="1"/>
    </xf>
    <xf numFmtId="49" fontId="19" fillId="33" borderId="13" xfId="43" applyNumberFormat="1" applyFont="1" applyFill="1" applyBorder="1"/>
    <xf numFmtId="0" fontId="19" fillId="33" borderId="12" xfId="43" applyFont="1" applyFill="1" applyBorder="1"/>
    <xf numFmtId="0" fontId="19" fillId="33" borderId="11" xfId="43" applyFont="1" applyFill="1" applyBorder="1"/>
    <xf numFmtId="164" fontId="19" fillId="33" borderId="10" xfId="43" applyNumberFormat="1" applyFont="1" applyFill="1" applyBorder="1"/>
    <xf numFmtId="0" fontId="0" fillId="33" borderId="0" xfId="0" applyFill="1"/>
    <xf numFmtId="43" fontId="0" fillId="0" borderId="0" xfId="0" applyNumberFormat="1"/>
    <xf numFmtId="0" fontId="33" fillId="33" borderId="0" xfId="0" applyFont="1" applyFill="1"/>
    <xf numFmtId="0" fontId="0" fillId="34" borderId="0" xfId="0" applyFill="1"/>
    <xf numFmtId="0" fontId="18" fillId="33" borderId="0" xfId="43" applyFill="1"/>
    <xf numFmtId="0" fontId="23" fillId="33" borderId="0" xfId="43" applyFont="1" applyFill="1" applyAlignment="1">
      <alignment horizontal="center" vertical="center"/>
    </xf>
    <xf numFmtId="0" fontId="23" fillId="33" borderId="0" xfId="43" applyFont="1" applyFill="1" applyAlignment="1">
      <alignment horizontal="right" vertical="center"/>
    </xf>
    <xf numFmtId="4" fontId="23" fillId="33" borderId="0" xfId="43" applyNumberFormat="1" applyFont="1" applyFill="1" applyAlignment="1">
      <alignment horizontal="center" vertical="center"/>
    </xf>
    <xf numFmtId="0" fontId="19" fillId="33" borderId="0" xfId="43" applyFont="1" applyFill="1" applyAlignment="1">
      <alignment horizontal="right"/>
    </xf>
    <xf numFmtId="14" fontId="19" fillId="33" borderId="0" xfId="43" applyNumberFormat="1" applyFont="1" applyFill="1" applyAlignment="1">
      <alignment horizontal="center"/>
    </xf>
    <xf numFmtId="10" fontId="19" fillId="33" borderId="0" xfId="43" applyNumberFormat="1" applyFont="1" applyFill="1"/>
    <xf numFmtId="0" fontId="20" fillId="33" borderId="0" xfId="43" applyFont="1" applyFill="1"/>
    <xf numFmtId="0" fontId="22" fillId="33" borderId="0" xfId="43" applyFont="1" applyFill="1" applyAlignment="1">
      <alignment horizontal="right" wrapText="1"/>
    </xf>
    <xf numFmtId="0" fontId="22" fillId="33" borderId="0" xfId="43" applyFont="1" applyFill="1" applyAlignment="1">
      <alignment wrapText="1"/>
    </xf>
    <xf numFmtId="4" fontId="19" fillId="33" borderId="0" xfId="43" applyNumberFormat="1" applyFont="1" applyFill="1"/>
    <xf numFmtId="0" fontId="23" fillId="33" borderId="0" xfId="43" applyFont="1" applyFill="1" applyAlignment="1">
      <alignment horizontal="right"/>
    </xf>
    <xf numFmtId="0" fontId="22" fillId="33" borderId="0" xfId="43" applyFont="1" applyFill="1"/>
    <xf numFmtId="0" fontId="21" fillId="33" borderId="0" xfId="43" applyFont="1" applyFill="1"/>
    <xf numFmtId="0" fontId="20" fillId="33" borderId="0" xfId="43" applyFont="1" applyFill="1" applyAlignment="1">
      <alignment horizontal="left"/>
    </xf>
    <xf numFmtId="4" fontId="19" fillId="33" borderId="0" xfId="0" applyNumberFormat="1" applyFont="1" applyFill="1"/>
    <xf numFmtId="4" fontId="19" fillId="33" borderId="45" xfId="43" applyNumberFormat="1" applyFont="1" applyFill="1" applyBorder="1"/>
    <xf numFmtId="4" fontId="19" fillId="33" borderId="42" xfId="43" applyNumberFormat="1" applyFont="1" applyFill="1" applyBorder="1"/>
    <xf numFmtId="4" fontId="19" fillId="33" borderId="44" xfId="43" applyNumberFormat="1" applyFont="1" applyFill="1" applyBorder="1"/>
    <xf numFmtId="0" fontId="18" fillId="33" borderId="0" xfId="43" applyFill="1" applyAlignment="1">
      <alignment horizontal="right"/>
    </xf>
    <xf numFmtId="167" fontId="19" fillId="33" borderId="0" xfId="43" applyNumberFormat="1" applyFont="1" applyFill="1" applyAlignment="1">
      <alignment horizontal="center"/>
    </xf>
    <xf numFmtId="0" fontId="31" fillId="33" borderId="0" xfId="43" applyFont="1" applyFill="1"/>
    <xf numFmtId="0" fontId="29" fillId="33" borderId="19" xfId="43" applyFont="1" applyFill="1" applyBorder="1" applyAlignment="1">
      <alignment horizontal="left"/>
    </xf>
    <xf numFmtId="0" fontId="27" fillId="33" borderId="0" xfId="43" applyFont="1" applyFill="1" applyAlignment="1">
      <alignment horizontal="left"/>
    </xf>
    <xf numFmtId="166" fontId="27" fillId="33" borderId="0" xfId="43" applyNumberFormat="1" applyFont="1" applyFill="1" applyAlignment="1">
      <alignment horizontal="right"/>
    </xf>
    <xf numFmtId="0" fontId="27" fillId="33" borderId="0" xfId="0" applyFont="1" applyFill="1" applyAlignment="1">
      <alignment horizontal="left"/>
    </xf>
    <xf numFmtId="0" fontId="28" fillId="33" borderId="0" xfId="43" applyFont="1" applyFill="1" applyAlignment="1">
      <alignment horizontal="right"/>
    </xf>
    <xf numFmtId="0" fontId="30" fillId="33" borderId="0" xfId="43" applyFont="1" applyFill="1"/>
    <xf numFmtId="0" fontId="27" fillId="33" borderId="0" xfId="43" applyFont="1" applyFill="1" applyAlignment="1">
      <alignment horizontal="right"/>
    </xf>
    <xf numFmtId="14" fontId="0" fillId="0" borderId="0" xfId="0" applyNumberFormat="1"/>
    <xf numFmtId="0" fontId="32" fillId="33" borderId="0" xfId="0" applyFont="1" applyFill="1" applyAlignment="1">
      <alignment horizontal="left"/>
    </xf>
    <xf numFmtId="14" fontId="19" fillId="33" borderId="0" xfId="43" applyNumberFormat="1" applyFont="1" applyFill="1" applyAlignment="1">
      <alignment horizontal="left"/>
    </xf>
    <xf numFmtId="49" fontId="20" fillId="0" borderId="0" xfId="43" applyNumberFormat="1" applyFont="1" applyAlignment="1">
      <alignment horizontal="center"/>
    </xf>
    <xf numFmtId="0" fontId="20" fillId="0" borderId="0" xfId="43" applyFont="1" applyAlignment="1">
      <alignment horizontal="center"/>
    </xf>
    <xf numFmtId="43" fontId="19" fillId="0" borderId="0" xfId="42" applyFont="1" applyFill="1" applyBorder="1" applyAlignment="1">
      <alignment horizontal="center" vertical="center"/>
    </xf>
    <xf numFmtId="43" fontId="34" fillId="0" borderId="53" xfId="42" applyFont="1" applyFill="1" applyBorder="1" applyAlignment="1">
      <alignment horizontal="center" vertical="center"/>
    </xf>
    <xf numFmtId="49" fontId="19" fillId="0" borderId="54" xfId="43" applyNumberFormat="1" applyFont="1" applyBorder="1" applyAlignment="1">
      <alignment horizontal="center"/>
    </xf>
    <xf numFmtId="43" fontId="19" fillId="0" borderId="45" xfId="42" applyFont="1" applyFill="1" applyBorder="1" applyAlignment="1">
      <alignment horizontal="center" vertical="center"/>
    </xf>
    <xf numFmtId="164" fontId="19" fillId="0" borderId="50" xfId="43" applyNumberFormat="1" applyFont="1" applyBorder="1" applyAlignment="1">
      <alignment horizontal="center"/>
    </xf>
    <xf numFmtId="49" fontId="19" fillId="0" borderId="0" xfId="43" applyNumberFormat="1" applyFont="1" applyAlignment="1">
      <alignment horizontal="right"/>
    </xf>
    <xf numFmtId="0" fontId="0" fillId="0" borderId="53" xfId="0" applyBorder="1"/>
    <xf numFmtId="0" fontId="0" fillId="0" borderId="45" xfId="0" applyBorder="1"/>
    <xf numFmtId="164" fontId="19" fillId="0" borderId="45" xfId="43" applyNumberFormat="1" applyFont="1" applyBorder="1" applyAlignment="1">
      <alignment horizontal="center"/>
    </xf>
    <xf numFmtId="0" fontId="0" fillId="0" borderId="55" xfId="0" applyBorder="1"/>
    <xf numFmtId="49" fontId="20" fillId="0" borderId="52" xfId="43" applyNumberFormat="1" applyFont="1" applyBorder="1" applyAlignment="1">
      <alignment horizontal="center"/>
    </xf>
    <xf numFmtId="0" fontId="20" fillId="0" borderId="53" xfId="43" applyFont="1" applyBorder="1" applyAlignment="1">
      <alignment horizontal="center"/>
    </xf>
    <xf numFmtId="0" fontId="32" fillId="0" borderId="49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49" fontId="19" fillId="0" borderId="52" xfId="43" applyNumberFormat="1" applyFont="1" applyBorder="1" applyAlignment="1">
      <alignment horizontal="left"/>
    </xf>
    <xf numFmtId="43" fontId="23" fillId="0" borderId="45" xfId="42" applyFont="1" applyFill="1" applyBorder="1" applyAlignment="1">
      <alignment horizontal="center" vertical="center"/>
    </xf>
    <xf numFmtId="49" fontId="20" fillId="0" borderId="49" xfId="43" applyNumberFormat="1" applyFont="1" applyBorder="1" applyAlignment="1">
      <alignment horizontal="left"/>
    </xf>
    <xf numFmtId="0" fontId="0" fillId="0" borderId="50" xfId="0" applyBorder="1"/>
    <xf numFmtId="0" fontId="0" fillId="0" borderId="51" xfId="0" applyBorder="1"/>
    <xf numFmtId="43" fontId="19" fillId="0" borderId="53" xfId="42" applyFont="1" applyFill="1" applyBorder="1" applyAlignment="1">
      <alignment horizontal="center" vertical="center"/>
    </xf>
    <xf numFmtId="49" fontId="23" fillId="0" borderId="52" xfId="43" applyNumberFormat="1" applyFont="1" applyBorder="1" applyAlignment="1">
      <alignment horizontal="left"/>
    </xf>
    <xf numFmtId="49" fontId="20" fillId="0" borderId="52" xfId="43" applyNumberFormat="1" applyFont="1" applyBorder="1" applyAlignment="1">
      <alignment horizontal="left"/>
    </xf>
    <xf numFmtId="0" fontId="0" fillId="0" borderId="52" xfId="0" applyBorder="1"/>
    <xf numFmtId="0" fontId="0" fillId="0" borderId="54" xfId="0" applyBorder="1"/>
    <xf numFmtId="164" fontId="23" fillId="0" borderId="0" xfId="43" applyNumberFormat="1" applyFont="1" applyAlignment="1">
      <alignment horizontal="center"/>
    </xf>
    <xf numFmtId="43" fontId="35" fillId="0" borderId="0" xfId="42" applyFont="1" applyFill="1" applyBorder="1" applyAlignment="1">
      <alignment horizontal="center" vertical="center"/>
    </xf>
    <xf numFmtId="0" fontId="19" fillId="33" borderId="0" xfId="0" applyFont="1" applyFill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19" fillId="33" borderId="0" xfId="0" applyFont="1" applyFill="1"/>
    <xf numFmtId="0" fontId="19" fillId="33" borderId="0" xfId="43" applyFont="1" applyFill="1" applyAlignment="1">
      <alignment horizontal="left"/>
    </xf>
    <xf numFmtId="0" fontId="20" fillId="33" borderId="19" xfId="43" applyFont="1" applyFill="1" applyBorder="1" applyAlignment="1">
      <alignment horizontal="left"/>
    </xf>
    <xf numFmtId="43" fontId="18" fillId="33" borderId="0" xfId="42" applyFont="1" applyFill="1"/>
    <xf numFmtId="0" fontId="32" fillId="0" borderId="0" xfId="0" applyFont="1"/>
    <xf numFmtId="43" fontId="32" fillId="0" borderId="0" xfId="42" applyFont="1"/>
    <xf numFmtId="0" fontId="18" fillId="33" borderId="0" xfId="43" applyFill="1" applyAlignment="1">
      <alignment horizontal="center"/>
    </xf>
    <xf numFmtId="0" fontId="26" fillId="33" borderId="0" xfId="43" applyFont="1" applyFill="1" applyAlignment="1">
      <alignment horizontal="center"/>
    </xf>
    <xf numFmtId="0" fontId="18" fillId="33" borderId="0" xfId="43" applyFill="1"/>
    <xf numFmtId="0" fontId="26" fillId="33" borderId="16" xfId="43" applyFont="1" applyFill="1" applyBorder="1" applyAlignment="1">
      <alignment horizontal="center" vertical="center"/>
    </xf>
    <xf numFmtId="0" fontId="21" fillId="33" borderId="16" xfId="43" applyFont="1" applyFill="1" applyBorder="1"/>
    <xf numFmtId="49" fontId="19" fillId="33" borderId="30" xfId="43" applyNumberFormat="1" applyFont="1" applyFill="1" applyBorder="1" applyAlignment="1">
      <alignment horizontal="left" vertical="top" wrapText="1"/>
    </xf>
    <xf numFmtId="0" fontId="21" fillId="33" borderId="29" xfId="43" applyFont="1" applyFill="1" applyBorder="1"/>
    <xf numFmtId="49" fontId="19" fillId="33" borderId="30" xfId="43" applyNumberFormat="1" applyFont="1" applyFill="1" applyBorder="1" applyAlignment="1">
      <alignment horizontal="left" wrapText="1"/>
    </xf>
    <xf numFmtId="49" fontId="19" fillId="33" borderId="26" xfId="43" applyNumberFormat="1" applyFont="1" applyFill="1" applyBorder="1" applyAlignment="1">
      <alignment horizontal="right" vertical="center"/>
    </xf>
    <xf numFmtId="0" fontId="21" fillId="33" borderId="25" xfId="43" applyFont="1" applyFill="1" applyBorder="1"/>
    <xf numFmtId="49" fontId="19" fillId="33" borderId="30" xfId="43" applyNumberFormat="1" applyFont="1" applyFill="1" applyBorder="1" applyAlignment="1">
      <alignment horizontal="right"/>
    </xf>
    <xf numFmtId="0" fontId="23" fillId="33" borderId="0" xfId="43" applyFont="1" applyFill="1" applyAlignment="1">
      <alignment horizontal="center"/>
    </xf>
    <xf numFmtId="0" fontId="23" fillId="33" borderId="0" xfId="43" applyFont="1" applyFill="1" applyAlignment="1">
      <alignment horizontal="center" vertical="center"/>
    </xf>
    <xf numFmtId="0" fontId="20" fillId="33" borderId="0" xfId="43" applyFont="1" applyFill="1" applyAlignment="1">
      <alignment horizontal="left" vertical="center"/>
    </xf>
    <xf numFmtId="0" fontId="23" fillId="33" borderId="0" xfId="43" applyFont="1" applyFill="1" applyAlignment="1">
      <alignment horizontal="left" vertical="center"/>
    </xf>
    <xf numFmtId="0" fontId="32" fillId="35" borderId="52" xfId="0" applyFont="1" applyFill="1" applyBorder="1" applyAlignment="1">
      <alignment horizontal="center" vertical="center"/>
    </xf>
    <xf numFmtId="0" fontId="32" fillId="35" borderId="0" xfId="0" applyFont="1" applyFill="1" applyAlignment="1">
      <alignment horizontal="center" vertical="center"/>
    </xf>
    <xf numFmtId="0" fontId="32" fillId="35" borderId="53" xfId="0" applyFont="1" applyFill="1" applyBorder="1" applyAlignment="1">
      <alignment horizontal="center" vertical="center"/>
    </xf>
    <xf numFmtId="49" fontId="19" fillId="0" borderId="52" xfId="43" applyNumberFormat="1" applyFont="1" applyBorder="1" applyAlignment="1">
      <alignment horizontal="center"/>
    </xf>
    <xf numFmtId="49" fontId="19" fillId="0" borderId="0" xfId="43" applyNumberFormat="1" applyFont="1" applyAlignment="1">
      <alignment horizontal="center"/>
    </xf>
    <xf numFmtId="0" fontId="32" fillId="35" borderId="13" xfId="0" applyFont="1" applyFill="1" applyBorder="1" applyAlignment="1">
      <alignment horizontal="center" vertical="center"/>
    </xf>
    <xf numFmtId="0" fontId="32" fillId="35" borderId="12" xfId="0" applyFont="1" applyFill="1" applyBorder="1" applyAlignment="1">
      <alignment horizontal="center" vertical="center"/>
    </xf>
    <xf numFmtId="0" fontId="32" fillId="35" borderId="11" xfId="0" applyFont="1" applyFill="1" applyBorder="1" applyAlignment="1">
      <alignment horizontal="center" vertical="center"/>
    </xf>
    <xf numFmtId="14" fontId="32" fillId="35" borderId="46" xfId="0" applyNumberFormat="1" applyFont="1" applyFill="1" applyBorder="1" applyAlignment="1">
      <alignment horizontal="center" vertical="center"/>
    </xf>
    <xf numFmtId="14" fontId="32" fillId="35" borderId="48" xfId="0" applyNumberFormat="1" applyFont="1" applyFill="1" applyBorder="1" applyAlignment="1">
      <alignment horizontal="center" vertical="center"/>
    </xf>
    <xf numFmtId="168" fontId="32" fillId="35" borderId="46" xfId="0" applyNumberFormat="1" applyFont="1" applyFill="1" applyBorder="1" applyAlignment="1">
      <alignment horizontal="center" vertical="center"/>
    </xf>
    <xf numFmtId="168" fontId="32" fillId="35" borderId="48" xfId="0" applyNumberFormat="1" applyFont="1" applyFill="1" applyBorder="1" applyAlignment="1">
      <alignment horizontal="center" vertical="center"/>
    </xf>
    <xf numFmtId="0" fontId="32" fillId="35" borderId="46" xfId="0" applyFont="1" applyFill="1" applyBorder="1" applyAlignment="1">
      <alignment horizontal="center" vertical="center"/>
    </xf>
    <xf numFmtId="0" fontId="32" fillId="35" borderId="47" xfId="0" applyFont="1" applyFill="1" applyBorder="1" applyAlignment="1">
      <alignment horizontal="center" vertical="center"/>
    </xf>
    <xf numFmtId="0" fontId="32" fillId="35" borderId="48" xfId="0" applyFont="1" applyFill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32" fillId="35" borderId="49" xfId="0" applyFont="1" applyFill="1" applyBorder="1" applyAlignment="1">
      <alignment horizontal="center" vertical="center"/>
    </xf>
    <xf numFmtId="0" fontId="32" fillId="35" borderId="50" xfId="0" applyFont="1" applyFill="1" applyBorder="1" applyAlignment="1">
      <alignment horizontal="center" vertical="center"/>
    </xf>
    <xf numFmtId="0" fontId="32" fillId="35" borderId="51" xfId="0" applyFont="1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00000000-0005-0000-0000-000023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FF00"/>
      <color rgb="FF84FF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Menu!$L$17:$L$20</c:f>
              <c:strCache>
                <c:ptCount val="4"/>
                <c:pt idx="0">
                  <c:v>711 - Gastos por personal</c:v>
                </c:pt>
                <c:pt idx="1">
                  <c:v>712- Gastos financiero</c:v>
                </c:pt>
                <c:pt idx="2">
                  <c:v>713 - Otros gastos generales</c:v>
                </c:pt>
                <c:pt idx="3">
                  <c:v>714 - Apartados y reservas</c:v>
                </c:pt>
              </c:strCache>
            </c:strRef>
          </c:cat>
          <c:val>
            <c:numRef>
              <c:f>Menu!$M$17:$M$20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0-482C-B8DF-002D0A1BE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7867631"/>
        <c:axId val="1501040671"/>
      </c:barChart>
      <c:catAx>
        <c:axId val="156786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01040671"/>
        <c:crosses val="autoZero"/>
        <c:auto val="1"/>
        <c:lblAlgn val="ctr"/>
        <c:lblOffset val="100"/>
        <c:noMultiLvlLbl val="0"/>
      </c:catAx>
      <c:valAx>
        <c:axId val="150104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56786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1705</xdr:colOff>
      <xdr:row>0</xdr:row>
      <xdr:rowOff>172872</xdr:rowOff>
    </xdr:from>
    <xdr:to>
      <xdr:col>14</xdr:col>
      <xdr:colOff>137273</xdr:colOff>
      <xdr:row>0</xdr:row>
      <xdr:rowOff>422910</xdr:rowOff>
    </xdr:to>
    <xdr:sp macro="[0]!GenerarRen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316302" y="172872"/>
          <a:ext cx="1049968" cy="250038"/>
        </a:xfrm>
        <a:prstGeom prst="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200">
              <a:latin typeface="Arial Black" panose="020B0A04020102020204" pitchFamily="34" charset="0"/>
            </a:rPr>
            <a:t>Process</a:t>
          </a:r>
          <a:endParaRPr lang="es-VE" sz="1200">
            <a:ln>
              <a:solidFill>
                <a:sysClr val="windowText" lastClr="000000"/>
              </a:solidFill>
            </a:ln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14</xdr:col>
      <xdr:colOff>252256</xdr:colOff>
      <xdr:row>0</xdr:row>
      <xdr:rowOff>172872</xdr:rowOff>
    </xdr:from>
    <xdr:to>
      <xdr:col>15</xdr:col>
      <xdr:colOff>541589</xdr:colOff>
      <xdr:row>0</xdr:row>
      <xdr:rowOff>431952</xdr:rowOff>
    </xdr:to>
    <xdr:sp macro="[0]!CrearNuevoLibroDesdeLOG_reportes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481253" y="172872"/>
          <a:ext cx="1149142" cy="259080"/>
        </a:xfrm>
        <a:prstGeom prst="rect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200">
              <a:latin typeface="Arial Black" panose="020B0A04020102020204" pitchFamily="34" charset="0"/>
            </a:rPr>
            <a:t>Excel</a:t>
          </a:r>
          <a:endParaRPr lang="es-VE" sz="1200">
            <a:ln>
              <a:solidFill>
                <a:sysClr val="windowText" lastClr="000000"/>
              </a:solidFill>
            </a:ln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672153</xdr:colOff>
      <xdr:row>10</xdr:row>
      <xdr:rowOff>85297</xdr:rowOff>
    </xdr:from>
    <xdr:to>
      <xdr:col>9</xdr:col>
      <xdr:colOff>310487</xdr:colOff>
      <xdr:row>25</xdr:row>
      <xdr:rowOff>167184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75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</a:spPr>
      <a:bodyPr vertOverflow="clip" horzOverflow="clip" rtlCol="0" anchor="ctr"/>
      <a:lstStyle>
        <a:defPPr algn="ctr">
          <a:defRPr sz="2000">
            <a:latin typeface="Arial Black" panose="020B0A040201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C1"/>
  <sheetViews>
    <sheetView tabSelected="1" workbookViewId="0">
      <selection activeCell="E8" sqref="E8"/>
    </sheetView>
  </sheetViews>
  <sheetFormatPr defaultColWidth="8.77734375" defaultRowHeight="14.4" x14ac:dyDescent="0.3"/>
  <cols>
    <col min="1" max="1" width="11.5546875" bestFit="1" customWidth="1"/>
    <col min="2" max="2" width="56.21875" bestFit="1" customWidth="1"/>
    <col min="3" max="3" width="19.21875" style="2" bestFit="1" customWidth="1"/>
  </cols>
  <sheetData>
    <row r="1" spans="1:3" x14ac:dyDescent="0.3">
      <c r="A1" s="160" t="s">
        <v>425</v>
      </c>
      <c r="B1" s="160" t="s">
        <v>0</v>
      </c>
      <c r="C1" s="161" t="s">
        <v>418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002060"/>
  </sheetPr>
  <dimension ref="A1:H697"/>
  <sheetViews>
    <sheetView topLeftCell="B1" workbookViewId="0">
      <selection activeCell="B2" sqref="B2:D390"/>
    </sheetView>
  </sheetViews>
  <sheetFormatPr defaultColWidth="11.33203125" defaultRowHeight="14.4" x14ac:dyDescent="0.3"/>
  <cols>
    <col min="1" max="1" width="13.6640625" hidden="1" customWidth="1"/>
    <col min="2" max="2" width="11.5546875" bestFit="1" customWidth="1"/>
    <col min="3" max="3" width="59.77734375" bestFit="1" customWidth="1"/>
    <col min="4" max="4" width="19.21875" style="1" bestFit="1" customWidth="1"/>
    <col min="7" max="7" width="14.88671875" style="2" bestFit="1" customWidth="1"/>
  </cols>
  <sheetData>
    <row r="1" spans="1:8" x14ac:dyDescent="0.3">
      <c r="A1" t="str">
        <f>LEFT(B1,6)</f>
        <v>Cuenta</v>
      </c>
      <c r="B1" s="160" t="s">
        <v>425</v>
      </c>
      <c r="C1" s="160" t="s">
        <v>0</v>
      </c>
      <c r="D1" s="161" t="s">
        <v>418</v>
      </c>
    </row>
    <row r="2" spans="1:8" x14ac:dyDescent="0.3">
      <c r="A2">
        <f>IFERROR(VALUE(LEFT(B2,6)),0)</f>
        <v>0</v>
      </c>
      <c r="D2" s="2"/>
      <c r="H2" s="89"/>
    </row>
    <row r="3" spans="1:8" x14ac:dyDescent="0.3">
      <c r="A3">
        <f t="shared" ref="A3:A66" si="0">IFERROR(VALUE(LEFT(B3,6)),0)</f>
        <v>0</v>
      </c>
      <c r="D3" s="2"/>
      <c r="H3" s="89"/>
    </row>
    <row r="4" spans="1:8" x14ac:dyDescent="0.3">
      <c r="A4">
        <f t="shared" si="0"/>
        <v>0</v>
      </c>
      <c r="D4" s="2"/>
      <c r="H4" s="89"/>
    </row>
    <row r="5" spans="1:8" x14ac:dyDescent="0.3">
      <c r="A5">
        <f t="shared" si="0"/>
        <v>0</v>
      </c>
      <c r="D5" s="2"/>
      <c r="H5" s="89"/>
    </row>
    <row r="6" spans="1:8" x14ac:dyDescent="0.3">
      <c r="A6">
        <f t="shared" si="0"/>
        <v>0</v>
      </c>
      <c r="D6" s="2"/>
      <c r="H6" s="89"/>
    </row>
    <row r="7" spans="1:8" x14ac:dyDescent="0.3">
      <c r="A7">
        <f t="shared" si="0"/>
        <v>0</v>
      </c>
      <c r="D7" s="2"/>
      <c r="H7" s="89"/>
    </row>
    <row r="8" spans="1:8" x14ac:dyDescent="0.3">
      <c r="A8">
        <f t="shared" si="0"/>
        <v>0</v>
      </c>
      <c r="D8" s="2"/>
      <c r="H8" s="89"/>
    </row>
    <row r="9" spans="1:8" x14ac:dyDescent="0.3">
      <c r="A9">
        <f t="shared" si="0"/>
        <v>0</v>
      </c>
      <c r="D9" s="2"/>
      <c r="H9" s="89"/>
    </row>
    <row r="10" spans="1:8" x14ac:dyDescent="0.3">
      <c r="A10">
        <f t="shared" si="0"/>
        <v>0</v>
      </c>
      <c r="D10" s="2"/>
      <c r="H10" s="89"/>
    </row>
    <row r="11" spans="1:8" x14ac:dyDescent="0.3">
      <c r="A11">
        <f t="shared" si="0"/>
        <v>0</v>
      </c>
      <c r="D11" s="2"/>
      <c r="H11" s="89"/>
    </row>
    <row r="12" spans="1:8" x14ac:dyDescent="0.3">
      <c r="A12">
        <f t="shared" si="0"/>
        <v>0</v>
      </c>
      <c r="D12" s="2"/>
      <c r="H12" s="89"/>
    </row>
    <row r="13" spans="1:8" x14ac:dyDescent="0.3">
      <c r="A13">
        <f t="shared" si="0"/>
        <v>0</v>
      </c>
      <c r="D13" s="2"/>
      <c r="H13" s="89"/>
    </row>
    <row r="14" spans="1:8" x14ac:dyDescent="0.3">
      <c r="A14">
        <f t="shared" si="0"/>
        <v>0</v>
      </c>
      <c r="D14" s="2"/>
      <c r="H14" s="89"/>
    </row>
    <row r="15" spans="1:8" x14ac:dyDescent="0.3">
      <c r="A15">
        <f t="shared" si="0"/>
        <v>0</v>
      </c>
      <c r="D15" s="2"/>
      <c r="H15" s="89"/>
    </row>
    <row r="16" spans="1:8" x14ac:dyDescent="0.3">
      <c r="A16">
        <f t="shared" si="0"/>
        <v>0</v>
      </c>
      <c r="D16" s="2"/>
      <c r="H16" s="89"/>
    </row>
    <row r="17" spans="1:8" x14ac:dyDescent="0.3">
      <c r="A17">
        <f t="shared" si="0"/>
        <v>0</v>
      </c>
      <c r="D17" s="2"/>
      <c r="H17" s="89"/>
    </row>
    <row r="18" spans="1:8" x14ac:dyDescent="0.3">
      <c r="A18">
        <f t="shared" si="0"/>
        <v>0</v>
      </c>
      <c r="D18" s="2"/>
      <c r="H18" s="89"/>
    </row>
    <row r="19" spans="1:8" x14ac:dyDescent="0.3">
      <c r="A19">
        <f t="shared" si="0"/>
        <v>0</v>
      </c>
      <c r="D19" s="2"/>
      <c r="H19" s="89"/>
    </row>
    <row r="20" spans="1:8" x14ac:dyDescent="0.3">
      <c r="A20">
        <f t="shared" si="0"/>
        <v>0</v>
      </c>
      <c r="D20" s="2"/>
      <c r="H20" s="89"/>
    </row>
    <row r="21" spans="1:8" x14ac:dyDescent="0.3">
      <c r="A21">
        <f t="shared" si="0"/>
        <v>0</v>
      </c>
      <c r="D21" s="2"/>
      <c r="H21" s="89"/>
    </row>
    <row r="22" spans="1:8" x14ac:dyDescent="0.3">
      <c r="A22">
        <f t="shared" si="0"/>
        <v>0</v>
      </c>
      <c r="D22" s="2"/>
      <c r="H22" s="89"/>
    </row>
    <row r="23" spans="1:8" x14ac:dyDescent="0.3">
      <c r="A23">
        <f t="shared" si="0"/>
        <v>0</v>
      </c>
      <c r="D23" s="2"/>
      <c r="H23" s="89"/>
    </row>
    <row r="24" spans="1:8" x14ac:dyDescent="0.3">
      <c r="A24">
        <f t="shared" si="0"/>
        <v>0</v>
      </c>
      <c r="D24" s="2"/>
      <c r="H24" s="89"/>
    </row>
    <row r="25" spans="1:8" x14ac:dyDescent="0.3">
      <c r="A25">
        <f t="shared" si="0"/>
        <v>0</v>
      </c>
      <c r="D25" s="2"/>
      <c r="H25" s="89"/>
    </row>
    <row r="26" spans="1:8" x14ac:dyDescent="0.3">
      <c r="A26">
        <f t="shared" si="0"/>
        <v>0</v>
      </c>
      <c r="D26" s="2"/>
      <c r="H26" s="89"/>
    </row>
    <row r="27" spans="1:8" x14ac:dyDescent="0.3">
      <c r="A27">
        <f t="shared" si="0"/>
        <v>0</v>
      </c>
      <c r="D27" s="2"/>
      <c r="H27" s="89"/>
    </row>
    <row r="28" spans="1:8" x14ac:dyDescent="0.3">
      <c r="A28">
        <f t="shared" si="0"/>
        <v>0</v>
      </c>
      <c r="D28" s="2"/>
      <c r="H28" s="89"/>
    </row>
    <row r="29" spans="1:8" x14ac:dyDescent="0.3">
      <c r="A29">
        <f t="shared" si="0"/>
        <v>0</v>
      </c>
      <c r="D29" s="2"/>
      <c r="H29" s="89"/>
    </row>
    <row r="30" spans="1:8" x14ac:dyDescent="0.3">
      <c r="A30">
        <f t="shared" si="0"/>
        <v>0</v>
      </c>
      <c r="D30" s="2"/>
      <c r="H30" s="89"/>
    </row>
    <row r="31" spans="1:8" x14ac:dyDescent="0.3">
      <c r="A31">
        <f t="shared" si="0"/>
        <v>0</v>
      </c>
      <c r="D31" s="2"/>
      <c r="H31" s="89"/>
    </row>
    <row r="32" spans="1:8" x14ac:dyDescent="0.3">
      <c r="A32">
        <f t="shared" si="0"/>
        <v>0</v>
      </c>
      <c r="D32" s="2"/>
      <c r="H32" s="89"/>
    </row>
    <row r="33" spans="1:8" x14ac:dyDescent="0.3">
      <c r="A33">
        <f t="shared" si="0"/>
        <v>0</v>
      </c>
      <c r="D33" s="2"/>
      <c r="H33" s="89"/>
    </row>
    <row r="34" spans="1:8" x14ac:dyDescent="0.3">
      <c r="A34">
        <f t="shared" si="0"/>
        <v>0</v>
      </c>
      <c r="D34" s="2"/>
      <c r="H34" s="89"/>
    </row>
    <row r="35" spans="1:8" x14ac:dyDescent="0.3">
      <c r="A35">
        <f t="shared" si="0"/>
        <v>0</v>
      </c>
      <c r="D35" s="2"/>
      <c r="H35" s="89"/>
    </row>
    <row r="36" spans="1:8" x14ac:dyDescent="0.3">
      <c r="A36">
        <f t="shared" si="0"/>
        <v>0</v>
      </c>
      <c r="D36" s="2"/>
      <c r="H36" s="89"/>
    </row>
    <row r="37" spans="1:8" x14ac:dyDescent="0.3">
      <c r="A37">
        <f t="shared" si="0"/>
        <v>0</v>
      </c>
      <c r="D37" s="2"/>
      <c r="H37" s="89"/>
    </row>
    <row r="38" spans="1:8" x14ac:dyDescent="0.3">
      <c r="A38">
        <f t="shared" si="0"/>
        <v>0</v>
      </c>
      <c r="D38" s="2"/>
      <c r="H38" s="89"/>
    </row>
    <row r="39" spans="1:8" x14ac:dyDescent="0.3">
      <c r="A39">
        <f t="shared" si="0"/>
        <v>0</v>
      </c>
      <c r="D39" s="2"/>
      <c r="H39" s="89"/>
    </row>
    <row r="40" spans="1:8" x14ac:dyDescent="0.3">
      <c r="A40">
        <f t="shared" si="0"/>
        <v>0</v>
      </c>
      <c r="D40" s="2"/>
      <c r="H40" s="89"/>
    </row>
    <row r="41" spans="1:8" x14ac:dyDescent="0.3">
      <c r="A41">
        <f t="shared" si="0"/>
        <v>0</v>
      </c>
      <c r="D41" s="2"/>
      <c r="H41" s="89"/>
    </row>
    <row r="42" spans="1:8" x14ac:dyDescent="0.3">
      <c r="A42">
        <f t="shared" si="0"/>
        <v>0</v>
      </c>
      <c r="D42" s="2"/>
      <c r="H42" s="89"/>
    </row>
    <row r="43" spans="1:8" x14ac:dyDescent="0.3">
      <c r="A43">
        <f t="shared" si="0"/>
        <v>0</v>
      </c>
      <c r="D43" s="2"/>
      <c r="H43" s="89"/>
    </row>
    <row r="44" spans="1:8" x14ac:dyDescent="0.3">
      <c r="A44">
        <f t="shared" si="0"/>
        <v>0</v>
      </c>
      <c r="D44" s="2"/>
      <c r="H44" s="89"/>
    </row>
    <row r="45" spans="1:8" x14ac:dyDescent="0.3">
      <c r="A45">
        <f t="shared" si="0"/>
        <v>0</v>
      </c>
      <c r="D45" s="2"/>
      <c r="H45" s="89"/>
    </row>
    <row r="46" spans="1:8" x14ac:dyDescent="0.3">
      <c r="A46">
        <f t="shared" si="0"/>
        <v>0</v>
      </c>
      <c r="D46" s="2"/>
      <c r="H46" s="89"/>
    </row>
    <row r="47" spans="1:8" x14ac:dyDescent="0.3">
      <c r="A47">
        <f t="shared" si="0"/>
        <v>0</v>
      </c>
      <c r="D47" s="2"/>
      <c r="H47" s="89"/>
    </row>
    <row r="48" spans="1:8" x14ac:dyDescent="0.3">
      <c r="A48">
        <f t="shared" si="0"/>
        <v>0</v>
      </c>
      <c r="D48" s="2"/>
      <c r="H48" s="89"/>
    </row>
    <row r="49" spans="1:8" x14ac:dyDescent="0.3">
      <c r="A49">
        <f t="shared" si="0"/>
        <v>0</v>
      </c>
      <c r="D49" s="2"/>
      <c r="H49" s="89"/>
    </row>
    <row r="50" spans="1:8" x14ac:dyDescent="0.3">
      <c r="A50">
        <f t="shared" si="0"/>
        <v>0</v>
      </c>
      <c r="D50" s="2"/>
      <c r="H50" s="89"/>
    </row>
    <row r="51" spans="1:8" x14ac:dyDescent="0.3">
      <c r="A51">
        <f t="shared" si="0"/>
        <v>0</v>
      </c>
      <c r="D51" s="2"/>
      <c r="H51" s="89"/>
    </row>
    <row r="52" spans="1:8" x14ac:dyDescent="0.3">
      <c r="A52">
        <f t="shared" si="0"/>
        <v>0</v>
      </c>
      <c r="D52" s="2"/>
      <c r="H52" s="89"/>
    </row>
    <row r="53" spans="1:8" x14ac:dyDescent="0.3">
      <c r="A53">
        <f t="shared" si="0"/>
        <v>0</v>
      </c>
      <c r="D53" s="2"/>
      <c r="H53" s="89"/>
    </row>
    <row r="54" spans="1:8" x14ac:dyDescent="0.3">
      <c r="A54">
        <f t="shared" si="0"/>
        <v>0</v>
      </c>
      <c r="D54" s="2"/>
      <c r="H54" s="89"/>
    </row>
    <row r="55" spans="1:8" x14ac:dyDescent="0.3">
      <c r="A55">
        <f t="shared" si="0"/>
        <v>0</v>
      </c>
      <c r="D55" s="2"/>
      <c r="H55" s="89"/>
    </row>
    <row r="56" spans="1:8" x14ac:dyDescent="0.3">
      <c r="A56">
        <f t="shared" si="0"/>
        <v>0</v>
      </c>
      <c r="D56" s="2"/>
      <c r="H56" s="89"/>
    </row>
    <row r="57" spans="1:8" x14ac:dyDescent="0.3">
      <c r="A57">
        <f t="shared" si="0"/>
        <v>0</v>
      </c>
      <c r="D57" s="2"/>
      <c r="H57" s="89"/>
    </row>
    <row r="58" spans="1:8" x14ac:dyDescent="0.3">
      <c r="A58">
        <f t="shared" si="0"/>
        <v>0</v>
      </c>
      <c r="D58" s="2"/>
      <c r="H58" s="89"/>
    </row>
    <row r="59" spans="1:8" x14ac:dyDescent="0.3">
      <c r="A59">
        <f t="shared" si="0"/>
        <v>0</v>
      </c>
      <c r="D59" s="2"/>
      <c r="H59" s="89"/>
    </row>
    <row r="60" spans="1:8" x14ac:dyDescent="0.3">
      <c r="A60">
        <f t="shared" si="0"/>
        <v>0</v>
      </c>
      <c r="D60" s="2"/>
      <c r="H60" s="89"/>
    </row>
    <row r="61" spans="1:8" x14ac:dyDescent="0.3">
      <c r="A61">
        <f t="shared" si="0"/>
        <v>0</v>
      </c>
      <c r="D61" s="2"/>
      <c r="H61" s="89"/>
    </row>
    <row r="62" spans="1:8" x14ac:dyDescent="0.3">
      <c r="A62">
        <f t="shared" si="0"/>
        <v>0</v>
      </c>
      <c r="D62" s="2"/>
      <c r="H62" s="89"/>
    </row>
    <row r="63" spans="1:8" x14ac:dyDescent="0.3">
      <c r="A63">
        <f t="shared" si="0"/>
        <v>0</v>
      </c>
      <c r="D63" s="2"/>
      <c r="H63" s="89"/>
    </row>
    <row r="64" spans="1:8" x14ac:dyDescent="0.3">
      <c r="A64">
        <f t="shared" si="0"/>
        <v>0</v>
      </c>
      <c r="D64" s="2"/>
      <c r="H64" s="89"/>
    </row>
    <row r="65" spans="1:8" x14ac:dyDescent="0.3">
      <c r="A65">
        <f t="shared" si="0"/>
        <v>0</v>
      </c>
      <c r="D65" s="2"/>
      <c r="H65" s="89"/>
    </row>
    <row r="66" spans="1:8" x14ac:dyDescent="0.3">
      <c r="A66">
        <f t="shared" si="0"/>
        <v>0</v>
      </c>
      <c r="D66" s="2"/>
      <c r="H66" s="89"/>
    </row>
    <row r="67" spans="1:8" x14ac:dyDescent="0.3">
      <c r="A67">
        <f t="shared" ref="A67:A130" si="1">IFERROR(VALUE(LEFT(B67,6)),0)</f>
        <v>0</v>
      </c>
      <c r="D67" s="2"/>
      <c r="H67" s="89"/>
    </row>
    <row r="68" spans="1:8" x14ac:dyDescent="0.3">
      <c r="A68">
        <f t="shared" si="1"/>
        <v>0</v>
      </c>
      <c r="D68" s="2"/>
      <c r="H68" s="89"/>
    </row>
    <row r="69" spans="1:8" x14ac:dyDescent="0.3">
      <c r="A69">
        <f t="shared" si="1"/>
        <v>0</v>
      </c>
      <c r="D69" s="2"/>
      <c r="H69" s="89"/>
    </row>
    <row r="70" spans="1:8" x14ac:dyDescent="0.3">
      <c r="A70">
        <f t="shared" si="1"/>
        <v>0</v>
      </c>
      <c r="D70" s="2"/>
      <c r="H70" s="89"/>
    </row>
    <row r="71" spans="1:8" x14ac:dyDescent="0.3">
      <c r="A71">
        <f t="shared" si="1"/>
        <v>0</v>
      </c>
      <c r="D71" s="2"/>
      <c r="H71" s="89"/>
    </row>
    <row r="72" spans="1:8" x14ac:dyDescent="0.3">
      <c r="A72">
        <f t="shared" si="1"/>
        <v>0</v>
      </c>
      <c r="D72" s="2"/>
      <c r="H72" s="89"/>
    </row>
    <row r="73" spans="1:8" x14ac:dyDescent="0.3">
      <c r="A73">
        <f t="shared" si="1"/>
        <v>0</v>
      </c>
      <c r="D73" s="2"/>
      <c r="H73" s="89"/>
    </row>
    <row r="74" spans="1:8" x14ac:dyDescent="0.3">
      <c r="A74">
        <f t="shared" si="1"/>
        <v>0</v>
      </c>
      <c r="D74" s="2"/>
      <c r="H74" s="89"/>
    </row>
    <row r="75" spans="1:8" x14ac:dyDescent="0.3">
      <c r="A75">
        <f t="shared" si="1"/>
        <v>0</v>
      </c>
      <c r="D75" s="2"/>
      <c r="H75" s="89"/>
    </row>
    <row r="76" spans="1:8" x14ac:dyDescent="0.3">
      <c r="A76">
        <f t="shared" si="1"/>
        <v>0</v>
      </c>
      <c r="D76" s="2"/>
      <c r="H76" s="89"/>
    </row>
    <row r="77" spans="1:8" x14ac:dyDescent="0.3">
      <c r="A77">
        <f t="shared" si="1"/>
        <v>0</v>
      </c>
      <c r="D77" s="2"/>
      <c r="H77" s="89"/>
    </row>
    <row r="78" spans="1:8" x14ac:dyDescent="0.3">
      <c r="A78">
        <f t="shared" si="1"/>
        <v>0</v>
      </c>
      <c r="D78" s="2"/>
      <c r="H78" s="89"/>
    </row>
    <row r="79" spans="1:8" x14ac:dyDescent="0.3">
      <c r="A79">
        <f t="shared" si="1"/>
        <v>0</v>
      </c>
      <c r="D79" s="2"/>
      <c r="H79" s="89"/>
    </row>
    <row r="80" spans="1:8" x14ac:dyDescent="0.3">
      <c r="A80">
        <f t="shared" si="1"/>
        <v>0</v>
      </c>
      <c r="D80" s="2"/>
      <c r="H80" s="89"/>
    </row>
    <row r="81" spans="1:8" x14ac:dyDescent="0.3">
      <c r="A81">
        <f t="shared" si="1"/>
        <v>0</v>
      </c>
      <c r="D81" s="2"/>
      <c r="H81" s="89"/>
    </row>
    <row r="82" spans="1:8" x14ac:dyDescent="0.3">
      <c r="A82">
        <f t="shared" si="1"/>
        <v>0</v>
      </c>
      <c r="D82" s="2"/>
      <c r="H82" s="89"/>
    </row>
    <row r="83" spans="1:8" x14ac:dyDescent="0.3">
      <c r="A83">
        <f t="shared" si="1"/>
        <v>0</v>
      </c>
      <c r="D83" s="2"/>
      <c r="H83" s="89"/>
    </row>
    <row r="84" spans="1:8" x14ac:dyDescent="0.3">
      <c r="A84">
        <f t="shared" si="1"/>
        <v>0</v>
      </c>
      <c r="D84" s="2"/>
      <c r="H84" s="89"/>
    </row>
    <row r="85" spans="1:8" x14ac:dyDescent="0.3">
      <c r="A85">
        <f t="shared" si="1"/>
        <v>0</v>
      </c>
      <c r="D85" s="2"/>
      <c r="H85" s="89"/>
    </row>
    <row r="86" spans="1:8" x14ac:dyDescent="0.3">
      <c r="A86">
        <f t="shared" si="1"/>
        <v>0</v>
      </c>
      <c r="D86" s="2"/>
      <c r="H86" s="89"/>
    </row>
    <row r="87" spans="1:8" x14ac:dyDescent="0.3">
      <c r="A87">
        <f t="shared" si="1"/>
        <v>0</v>
      </c>
      <c r="D87" s="2"/>
      <c r="H87" s="89"/>
    </row>
    <row r="88" spans="1:8" x14ac:dyDescent="0.3">
      <c r="A88">
        <f t="shared" si="1"/>
        <v>0</v>
      </c>
      <c r="D88" s="2"/>
      <c r="H88" s="89"/>
    </row>
    <row r="89" spans="1:8" x14ac:dyDescent="0.3">
      <c r="A89">
        <f t="shared" si="1"/>
        <v>0</v>
      </c>
      <c r="D89" s="2"/>
      <c r="H89" s="89"/>
    </row>
    <row r="90" spans="1:8" x14ac:dyDescent="0.3">
      <c r="A90">
        <f t="shared" si="1"/>
        <v>0</v>
      </c>
      <c r="D90" s="2"/>
      <c r="H90" s="89"/>
    </row>
    <row r="91" spans="1:8" x14ac:dyDescent="0.3">
      <c r="A91">
        <f t="shared" si="1"/>
        <v>0</v>
      </c>
      <c r="D91" s="2"/>
      <c r="H91" s="89"/>
    </row>
    <row r="92" spans="1:8" x14ac:dyDescent="0.3">
      <c r="A92">
        <f t="shared" si="1"/>
        <v>0</v>
      </c>
      <c r="D92" s="2"/>
      <c r="H92" s="89"/>
    </row>
    <row r="93" spans="1:8" x14ac:dyDescent="0.3">
      <c r="A93">
        <f t="shared" si="1"/>
        <v>0</v>
      </c>
      <c r="D93" s="2"/>
      <c r="H93" s="89"/>
    </row>
    <row r="94" spans="1:8" x14ac:dyDescent="0.3">
      <c r="A94">
        <f t="shared" si="1"/>
        <v>0</v>
      </c>
      <c r="D94" s="2"/>
      <c r="H94" s="89"/>
    </row>
    <row r="95" spans="1:8" x14ac:dyDescent="0.3">
      <c r="A95">
        <f t="shared" si="1"/>
        <v>0</v>
      </c>
      <c r="D95" s="2"/>
      <c r="H95" s="89"/>
    </row>
    <row r="96" spans="1:8" x14ac:dyDescent="0.3">
      <c r="A96">
        <f t="shared" si="1"/>
        <v>0</v>
      </c>
      <c r="D96" s="2"/>
      <c r="H96" s="89"/>
    </row>
    <row r="97" spans="1:8" x14ac:dyDescent="0.3">
      <c r="A97">
        <f t="shared" si="1"/>
        <v>0</v>
      </c>
      <c r="D97" s="2"/>
      <c r="H97" s="89"/>
    </row>
    <row r="98" spans="1:8" x14ac:dyDescent="0.3">
      <c r="A98">
        <f t="shared" si="1"/>
        <v>0</v>
      </c>
      <c r="D98" s="2"/>
      <c r="H98" s="89"/>
    </row>
    <row r="99" spans="1:8" x14ac:dyDescent="0.3">
      <c r="A99">
        <f t="shared" si="1"/>
        <v>0</v>
      </c>
      <c r="D99" s="2"/>
      <c r="H99" s="89"/>
    </row>
    <row r="100" spans="1:8" x14ac:dyDescent="0.3">
      <c r="A100">
        <f t="shared" si="1"/>
        <v>0</v>
      </c>
      <c r="D100" s="2"/>
      <c r="H100" s="89"/>
    </row>
    <row r="101" spans="1:8" x14ac:dyDescent="0.3">
      <c r="A101">
        <f t="shared" si="1"/>
        <v>0</v>
      </c>
      <c r="D101" s="2"/>
      <c r="H101" s="89"/>
    </row>
    <row r="102" spans="1:8" x14ac:dyDescent="0.3">
      <c r="A102">
        <f t="shared" si="1"/>
        <v>0</v>
      </c>
      <c r="D102" s="2"/>
      <c r="H102" s="89"/>
    </row>
    <row r="103" spans="1:8" x14ac:dyDescent="0.3">
      <c r="A103">
        <f t="shared" si="1"/>
        <v>0</v>
      </c>
      <c r="D103" s="2"/>
      <c r="H103" s="89"/>
    </row>
    <row r="104" spans="1:8" x14ac:dyDescent="0.3">
      <c r="A104">
        <f t="shared" si="1"/>
        <v>0</v>
      </c>
      <c r="D104" s="2"/>
      <c r="H104" s="89"/>
    </row>
    <row r="105" spans="1:8" x14ac:dyDescent="0.3">
      <c r="A105">
        <f t="shared" si="1"/>
        <v>0</v>
      </c>
      <c r="D105" s="2"/>
      <c r="H105" s="89"/>
    </row>
    <row r="106" spans="1:8" x14ac:dyDescent="0.3">
      <c r="A106">
        <f t="shared" si="1"/>
        <v>0</v>
      </c>
      <c r="D106" s="2"/>
      <c r="H106" s="89"/>
    </row>
    <row r="107" spans="1:8" x14ac:dyDescent="0.3">
      <c r="A107">
        <f t="shared" si="1"/>
        <v>0</v>
      </c>
      <c r="D107" s="2"/>
      <c r="H107" s="89"/>
    </row>
    <row r="108" spans="1:8" x14ac:dyDescent="0.3">
      <c r="A108">
        <f t="shared" si="1"/>
        <v>0</v>
      </c>
      <c r="D108" s="2"/>
      <c r="H108" s="89"/>
    </row>
    <row r="109" spans="1:8" x14ac:dyDescent="0.3">
      <c r="A109">
        <f t="shared" si="1"/>
        <v>0</v>
      </c>
      <c r="D109" s="2"/>
      <c r="H109" s="89"/>
    </row>
    <row r="110" spans="1:8" x14ac:dyDescent="0.3">
      <c r="A110">
        <f t="shared" si="1"/>
        <v>0</v>
      </c>
      <c r="D110" s="2"/>
      <c r="H110" s="89"/>
    </row>
    <row r="111" spans="1:8" x14ac:dyDescent="0.3">
      <c r="A111">
        <f t="shared" si="1"/>
        <v>0</v>
      </c>
      <c r="D111" s="2"/>
      <c r="H111" s="89"/>
    </row>
    <row r="112" spans="1:8" x14ac:dyDescent="0.3">
      <c r="A112">
        <f t="shared" si="1"/>
        <v>0</v>
      </c>
      <c r="D112" s="2"/>
      <c r="H112" s="89"/>
    </row>
    <row r="113" spans="1:8" x14ac:dyDescent="0.3">
      <c r="A113">
        <f t="shared" si="1"/>
        <v>0</v>
      </c>
      <c r="D113" s="2"/>
      <c r="H113" s="89"/>
    </row>
    <row r="114" spans="1:8" x14ac:dyDescent="0.3">
      <c r="A114">
        <f t="shared" si="1"/>
        <v>0</v>
      </c>
      <c r="D114" s="2"/>
      <c r="H114" s="89"/>
    </row>
    <row r="115" spans="1:8" x14ac:dyDescent="0.3">
      <c r="A115">
        <f t="shared" si="1"/>
        <v>0</v>
      </c>
      <c r="D115" s="2"/>
      <c r="H115" s="89"/>
    </row>
    <row r="116" spans="1:8" x14ac:dyDescent="0.3">
      <c r="A116">
        <f t="shared" si="1"/>
        <v>0</v>
      </c>
      <c r="D116" s="2"/>
      <c r="H116" s="89"/>
    </row>
    <row r="117" spans="1:8" x14ac:dyDescent="0.3">
      <c r="A117">
        <f t="shared" si="1"/>
        <v>0</v>
      </c>
      <c r="D117" s="2"/>
      <c r="H117" s="89"/>
    </row>
    <row r="118" spans="1:8" x14ac:dyDescent="0.3">
      <c r="A118">
        <f t="shared" si="1"/>
        <v>0</v>
      </c>
      <c r="D118" s="2"/>
      <c r="H118" s="89"/>
    </row>
    <row r="119" spans="1:8" x14ac:dyDescent="0.3">
      <c r="A119">
        <f t="shared" si="1"/>
        <v>0</v>
      </c>
      <c r="D119" s="2"/>
      <c r="H119" s="89"/>
    </row>
    <row r="120" spans="1:8" x14ac:dyDescent="0.3">
      <c r="A120">
        <f t="shared" si="1"/>
        <v>0</v>
      </c>
      <c r="D120" s="2"/>
      <c r="H120" s="89"/>
    </row>
    <row r="121" spans="1:8" x14ac:dyDescent="0.3">
      <c r="A121">
        <f t="shared" si="1"/>
        <v>0</v>
      </c>
      <c r="D121" s="2"/>
      <c r="H121" s="89"/>
    </row>
    <row r="122" spans="1:8" x14ac:dyDescent="0.3">
      <c r="A122">
        <f t="shared" si="1"/>
        <v>0</v>
      </c>
      <c r="D122" s="2"/>
      <c r="H122" s="89"/>
    </row>
    <row r="123" spans="1:8" x14ac:dyDescent="0.3">
      <c r="A123">
        <f t="shared" si="1"/>
        <v>0</v>
      </c>
      <c r="D123" s="2"/>
      <c r="H123" s="89"/>
    </row>
    <row r="124" spans="1:8" x14ac:dyDescent="0.3">
      <c r="A124">
        <f t="shared" si="1"/>
        <v>0</v>
      </c>
      <c r="D124" s="2"/>
      <c r="H124" s="89"/>
    </row>
    <row r="125" spans="1:8" x14ac:dyDescent="0.3">
      <c r="A125">
        <f t="shared" si="1"/>
        <v>0</v>
      </c>
      <c r="D125" s="2"/>
      <c r="H125" s="89"/>
    </row>
    <row r="126" spans="1:8" x14ac:dyDescent="0.3">
      <c r="A126">
        <f t="shared" si="1"/>
        <v>0</v>
      </c>
      <c r="D126" s="2"/>
      <c r="H126" s="89"/>
    </row>
    <row r="127" spans="1:8" x14ac:dyDescent="0.3">
      <c r="A127">
        <f t="shared" si="1"/>
        <v>0</v>
      </c>
      <c r="D127" s="2"/>
      <c r="H127" s="89"/>
    </row>
    <row r="128" spans="1:8" x14ac:dyDescent="0.3">
      <c r="A128">
        <f t="shared" si="1"/>
        <v>0</v>
      </c>
      <c r="D128" s="2"/>
      <c r="H128" s="89"/>
    </row>
    <row r="129" spans="1:8" x14ac:dyDescent="0.3">
      <c r="A129">
        <f t="shared" si="1"/>
        <v>0</v>
      </c>
      <c r="D129" s="2"/>
      <c r="H129" s="89"/>
    </row>
    <row r="130" spans="1:8" x14ac:dyDescent="0.3">
      <c r="A130">
        <f t="shared" si="1"/>
        <v>0</v>
      </c>
      <c r="D130" s="2"/>
      <c r="H130" s="89"/>
    </row>
    <row r="131" spans="1:8" x14ac:dyDescent="0.3">
      <c r="A131">
        <f t="shared" ref="A131:A194" si="2">IFERROR(VALUE(LEFT(B131,6)),0)</f>
        <v>0</v>
      </c>
      <c r="D131" s="2"/>
      <c r="H131" s="89"/>
    </row>
    <row r="132" spans="1:8" x14ac:dyDescent="0.3">
      <c r="A132">
        <f t="shared" si="2"/>
        <v>0</v>
      </c>
      <c r="D132" s="2"/>
      <c r="H132" s="89"/>
    </row>
    <row r="133" spans="1:8" x14ac:dyDescent="0.3">
      <c r="A133">
        <f t="shared" si="2"/>
        <v>0</v>
      </c>
      <c r="D133" s="2"/>
      <c r="H133" s="89"/>
    </row>
    <row r="134" spans="1:8" x14ac:dyDescent="0.3">
      <c r="A134">
        <f t="shared" si="2"/>
        <v>0</v>
      </c>
      <c r="D134" s="2"/>
      <c r="H134" s="89"/>
    </row>
    <row r="135" spans="1:8" x14ac:dyDescent="0.3">
      <c r="A135">
        <f t="shared" si="2"/>
        <v>0</v>
      </c>
      <c r="D135" s="2"/>
      <c r="H135" s="89"/>
    </row>
    <row r="136" spans="1:8" x14ac:dyDescent="0.3">
      <c r="A136">
        <f t="shared" si="2"/>
        <v>0</v>
      </c>
      <c r="D136" s="2"/>
      <c r="H136" s="89"/>
    </row>
    <row r="137" spans="1:8" x14ac:dyDescent="0.3">
      <c r="A137">
        <f t="shared" si="2"/>
        <v>0</v>
      </c>
      <c r="D137" s="2"/>
      <c r="H137" s="89"/>
    </row>
    <row r="138" spans="1:8" x14ac:dyDescent="0.3">
      <c r="A138">
        <f t="shared" si="2"/>
        <v>0</v>
      </c>
      <c r="D138" s="2"/>
      <c r="H138" s="89"/>
    </row>
    <row r="139" spans="1:8" x14ac:dyDescent="0.3">
      <c r="A139">
        <f t="shared" si="2"/>
        <v>0</v>
      </c>
      <c r="D139" s="2"/>
      <c r="H139" s="89"/>
    </row>
    <row r="140" spans="1:8" x14ac:dyDescent="0.3">
      <c r="A140">
        <f t="shared" si="2"/>
        <v>0</v>
      </c>
      <c r="D140" s="2"/>
      <c r="H140" s="89"/>
    </row>
    <row r="141" spans="1:8" x14ac:dyDescent="0.3">
      <c r="A141">
        <f t="shared" si="2"/>
        <v>0</v>
      </c>
      <c r="D141" s="2"/>
      <c r="H141" s="89"/>
    </row>
    <row r="142" spans="1:8" x14ac:dyDescent="0.3">
      <c r="A142">
        <f t="shared" si="2"/>
        <v>0</v>
      </c>
      <c r="D142" s="2"/>
      <c r="H142" s="89"/>
    </row>
    <row r="143" spans="1:8" x14ac:dyDescent="0.3">
      <c r="A143">
        <f t="shared" si="2"/>
        <v>0</v>
      </c>
      <c r="D143" s="2"/>
      <c r="H143" s="89"/>
    </row>
    <row r="144" spans="1:8" x14ac:dyDescent="0.3">
      <c r="A144">
        <f t="shared" si="2"/>
        <v>0</v>
      </c>
      <c r="D144" s="2"/>
      <c r="H144" s="89"/>
    </row>
    <row r="145" spans="1:8" x14ac:dyDescent="0.3">
      <c r="A145">
        <f t="shared" si="2"/>
        <v>0</v>
      </c>
      <c r="D145" s="2"/>
      <c r="H145" s="89"/>
    </row>
    <row r="146" spans="1:8" x14ac:dyDescent="0.3">
      <c r="A146">
        <f t="shared" si="2"/>
        <v>0</v>
      </c>
      <c r="D146" s="2"/>
      <c r="H146" s="89"/>
    </row>
    <row r="147" spans="1:8" x14ac:dyDescent="0.3">
      <c r="A147">
        <f t="shared" si="2"/>
        <v>0</v>
      </c>
      <c r="D147" s="2"/>
      <c r="H147" s="89"/>
    </row>
    <row r="148" spans="1:8" x14ac:dyDescent="0.3">
      <c r="A148">
        <f t="shared" si="2"/>
        <v>0</v>
      </c>
      <c r="D148" s="2"/>
      <c r="H148" s="89"/>
    </row>
    <row r="149" spans="1:8" x14ac:dyDescent="0.3">
      <c r="A149">
        <f t="shared" si="2"/>
        <v>0</v>
      </c>
      <c r="D149" s="2"/>
      <c r="H149" s="89"/>
    </row>
    <row r="150" spans="1:8" x14ac:dyDescent="0.3">
      <c r="A150">
        <f t="shared" si="2"/>
        <v>0</v>
      </c>
      <c r="D150" s="2"/>
      <c r="H150" s="89"/>
    </row>
    <row r="151" spans="1:8" x14ac:dyDescent="0.3">
      <c r="A151">
        <f t="shared" si="2"/>
        <v>0</v>
      </c>
      <c r="D151" s="2"/>
      <c r="H151" s="89"/>
    </row>
    <row r="152" spans="1:8" x14ac:dyDescent="0.3">
      <c r="A152">
        <f t="shared" si="2"/>
        <v>0</v>
      </c>
      <c r="D152" s="2"/>
      <c r="H152" s="89"/>
    </row>
    <row r="153" spans="1:8" x14ac:dyDescent="0.3">
      <c r="A153">
        <f t="shared" si="2"/>
        <v>0</v>
      </c>
      <c r="D153" s="2"/>
      <c r="H153" s="89"/>
    </row>
    <row r="154" spans="1:8" x14ac:dyDescent="0.3">
      <c r="A154">
        <f t="shared" si="2"/>
        <v>0</v>
      </c>
      <c r="D154" s="2"/>
      <c r="H154" s="89"/>
    </row>
    <row r="155" spans="1:8" x14ac:dyDescent="0.3">
      <c r="A155">
        <f t="shared" si="2"/>
        <v>0</v>
      </c>
      <c r="D155" s="2"/>
      <c r="H155" s="89"/>
    </row>
    <row r="156" spans="1:8" x14ac:dyDescent="0.3">
      <c r="A156">
        <f t="shared" si="2"/>
        <v>0</v>
      </c>
      <c r="D156" s="2"/>
      <c r="H156" s="89"/>
    </row>
    <row r="157" spans="1:8" x14ac:dyDescent="0.3">
      <c r="A157">
        <f t="shared" si="2"/>
        <v>0</v>
      </c>
      <c r="D157" s="2"/>
      <c r="H157" s="89"/>
    </row>
    <row r="158" spans="1:8" x14ac:dyDescent="0.3">
      <c r="A158">
        <f t="shared" si="2"/>
        <v>0</v>
      </c>
      <c r="D158" s="2"/>
      <c r="H158" s="89"/>
    </row>
    <row r="159" spans="1:8" x14ac:dyDescent="0.3">
      <c r="A159">
        <f t="shared" si="2"/>
        <v>0</v>
      </c>
      <c r="D159" s="2"/>
      <c r="H159" s="89"/>
    </row>
    <row r="160" spans="1:8" x14ac:dyDescent="0.3">
      <c r="A160">
        <f t="shared" si="2"/>
        <v>0</v>
      </c>
      <c r="D160" s="2"/>
      <c r="H160" s="89"/>
    </row>
    <row r="161" spans="1:8" x14ac:dyDescent="0.3">
      <c r="A161">
        <f t="shared" si="2"/>
        <v>0</v>
      </c>
      <c r="D161" s="2"/>
      <c r="H161" s="89"/>
    </row>
    <row r="162" spans="1:8" x14ac:dyDescent="0.3">
      <c r="A162">
        <f t="shared" si="2"/>
        <v>0</v>
      </c>
      <c r="D162" s="2"/>
      <c r="H162" s="89"/>
    </row>
    <row r="163" spans="1:8" x14ac:dyDescent="0.3">
      <c r="A163">
        <f t="shared" si="2"/>
        <v>0</v>
      </c>
      <c r="D163" s="2"/>
      <c r="H163" s="89"/>
    </row>
    <row r="164" spans="1:8" x14ac:dyDescent="0.3">
      <c r="A164">
        <f t="shared" si="2"/>
        <v>0</v>
      </c>
      <c r="D164" s="2"/>
      <c r="H164" s="89"/>
    </row>
    <row r="165" spans="1:8" x14ac:dyDescent="0.3">
      <c r="A165">
        <f t="shared" si="2"/>
        <v>0</v>
      </c>
      <c r="D165" s="2"/>
      <c r="H165" s="89"/>
    </row>
    <row r="166" spans="1:8" x14ac:dyDescent="0.3">
      <c r="A166">
        <f t="shared" si="2"/>
        <v>0</v>
      </c>
      <c r="D166" s="2"/>
      <c r="H166" s="89"/>
    </row>
    <row r="167" spans="1:8" x14ac:dyDescent="0.3">
      <c r="A167">
        <f t="shared" si="2"/>
        <v>0</v>
      </c>
      <c r="D167" s="2"/>
      <c r="H167" s="89"/>
    </row>
    <row r="168" spans="1:8" x14ac:dyDescent="0.3">
      <c r="A168">
        <f t="shared" si="2"/>
        <v>0</v>
      </c>
      <c r="D168" s="2"/>
      <c r="H168" s="89"/>
    </row>
    <row r="169" spans="1:8" x14ac:dyDescent="0.3">
      <c r="A169">
        <f t="shared" si="2"/>
        <v>0</v>
      </c>
      <c r="D169" s="2"/>
      <c r="H169" s="89"/>
    </row>
    <row r="170" spans="1:8" x14ac:dyDescent="0.3">
      <c r="A170">
        <f t="shared" si="2"/>
        <v>0</v>
      </c>
      <c r="D170" s="2"/>
      <c r="H170" s="89"/>
    </row>
    <row r="171" spans="1:8" x14ac:dyDescent="0.3">
      <c r="A171">
        <f t="shared" si="2"/>
        <v>0</v>
      </c>
      <c r="D171" s="2"/>
      <c r="H171" s="89"/>
    </row>
    <row r="172" spans="1:8" x14ac:dyDescent="0.3">
      <c r="A172">
        <f t="shared" si="2"/>
        <v>0</v>
      </c>
      <c r="D172" s="2"/>
      <c r="H172" s="89"/>
    </row>
    <row r="173" spans="1:8" x14ac:dyDescent="0.3">
      <c r="A173">
        <f t="shared" si="2"/>
        <v>0</v>
      </c>
      <c r="D173" s="2"/>
      <c r="H173" s="89"/>
    </row>
    <row r="174" spans="1:8" x14ac:dyDescent="0.3">
      <c r="A174">
        <f t="shared" si="2"/>
        <v>0</v>
      </c>
      <c r="D174" s="2"/>
      <c r="H174" s="89"/>
    </row>
    <row r="175" spans="1:8" x14ac:dyDescent="0.3">
      <c r="A175">
        <f t="shared" si="2"/>
        <v>0</v>
      </c>
      <c r="D175" s="2"/>
      <c r="H175" s="89"/>
    </row>
    <row r="176" spans="1:8" x14ac:dyDescent="0.3">
      <c r="A176">
        <f t="shared" si="2"/>
        <v>0</v>
      </c>
      <c r="D176" s="2"/>
      <c r="H176" s="89"/>
    </row>
    <row r="177" spans="1:8" x14ac:dyDescent="0.3">
      <c r="A177">
        <f t="shared" si="2"/>
        <v>0</v>
      </c>
      <c r="D177" s="2"/>
      <c r="H177" s="89"/>
    </row>
    <row r="178" spans="1:8" x14ac:dyDescent="0.3">
      <c r="A178">
        <f t="shared" si="2"/>
        <v>0</v>
      </c>
      <c r="D178" s="2"/>
      <c r="H178" s="89"/>
    </row>
    <row r="179" spans="1:8" x14ac:dyDescent="0.3">
      <c r="A179">
        <f t="shared" si="2"/>
        <v>0</v>
      </c>
      <c r="D179" s="2"/>
      <c r="H179" s="89"/>
    </row>
    <row r="180" spans="1:8" x14ac:dyDescent="0.3">
      <c r="A180">
        <f t="shared" si="2"/>
        <v>0</v>
      </c>
      <c r="D180" s="2"/>
      <c r="H180" s="89"/>
    </row>
    <row r="181" spans="1:8" x14ac:dyDescent="0.3">
      <c r="A181">
        <f t="shared" si="2"/>
        <v>0</v>
      </c>
      <c r="D181" s="2"/>
      <c r="H181" s="89"/>
    </row>
    <row r="182" spans="1:8" x14ac:dyDescent="0.3">
      <c r="A182">
        <f t="shared" si="2"/>
        <v>0</v>
      </c>
      <c r="D182" s="2"/>
      <c r="H182" s="89"/>
    </row>
    <row r="183" spans="1:8" x14ac:dyDescent="0.3">
      <c r="A183">
        <f t="shared" si="2"/>
        <v>0</v>
      </c>
      <c r="D183" s="2"/>
      <c r="H183" s="89"/>
    </row>
    <row r="184" spans="1:8" x14ac:dyDescent="0.3">
      <c r="A184">
        <f t="shared" si="2"/>
        <v>0</v>
      </c>
      <c r="D184" s="2"/>
      <c r="H184" s="89"/>
    </row>
    <row r="185" spans="1:8" x14ac:dyDescent="0.3">
      <c r="A185">
        <f t="shared" si="2"/>
        <v>0</v>
      </c>
      <c r="H185" s="89"/>
    </row>
    <row r="186" spans="1:8" x14ac:dyDescent="0.3">
      <c r="A186">
        <f t="shared" si="2"/>
        <v>0</v>
      </c>
      <c r="H186" s="89"/>
    </row>
    <row r="187" spans="1:8" x14ac:dyDescent="0.3">
      <c r="A187">
        <f t="shared" si="2"/>
        <v>0</v>
      </c>
      <c r="H187" s="89"/>
    </row>
    <row r="188" spans="1:8" x14ac:dyDescent="0.3">
      <c r="A188">
        <f t="shared" si="2"/>
        <v>0</v>
      </c>
      <c r="H188" s="89"/>
    </row>
    <row r="189" spans="1:8" x14ac:dyDescent="0.3">
      <c r="A189">
        <f t="shared" si="2"/>
        <v>0</v>
      </c>
      <c r="H189" s="89"/>
    </row>
    <row r="190" spans="1:8" x14ac:dyDescent="0.3">
      <c r="A190">
        <f t="shared" si="2"/>
        <v>0</v>
      </c>
      <c r="H190" s="89"/>
    </row>
    <row r="191" spans="1:8" x14ac:dyDescent="0.3">
      <c r="A191">
        <f t="shared" si="2"/>
        <v>0</v>
      </c>
      <c r="H191" s="89"/>
    </row>
    <row r="192" spans="1:8" x14ac:dyDescent="0.3">
      <c r="A192">
        <f t="shared" si="2"/>
        <v>0</v>
      </c>
      <c r="H192" s="89"/>
    </row>
    <row r="193" spans="1:8" x14ac:dyDescent="0.3">
      <c r="A193">
        <f t="shared" si="2"/>
        <v>0</v>
      </c>
      <c r="H193" s="89"/>
    </row>
    <row r="194" spans="1:8" x14ac:dyDescent="0.3">
      <c r="A194">
        <f t="shared" si="2"/>
        <v>0</v>
      </c>
      <c r="H194" s="89"/>
    </row>
    <row r="195" spans="1:8" x14ac:dyDescent="0.3">
      <c r="A195">
        <f t="shared" ref="A195:A258" si="3">IFERROR(VALUE(LEFT(B195,6)),0)</f>
        <v>0</v>
      </c>
      <c r="H195" s="89"/>
    </row>
    <row r="196" spans="1:8" x14ac:dyDescent="0.3">
      <c r="A196">
        <f t="shared" si="3"/>
        <v>0</v>
      </c>
      <c r="H196" s="89"/>
    </row>
    <row r="197" spans="1:8" x14ac:dyDescent="0.3">
      <c r="A197">
        <f t="shared" si="3"/>
        <v>0</v>
      </c>
      <c r="H197" s="89"/>
    </row>
    <row r="198" spans="1:8" x14ac:dyDescent="0.3">
      <c r="A198">
        <f t="shared" si="3"/>
        <v>0</v>
      </c>
      <c r="H198" s="89"/>
    </row>
    <row r="199" spans="1:8" x14ac:dyDescent="0.3">
      <c r="A199">
        <f t="shared" si="3"/>
        <v>0</v>
      </c>
      <c r="H199" s="89"/>
    </row>
    <row r="200" spans="1:8" x14ac:dyDescent="0.3">
      <c r="A200">
        <f t="shared" si="3"/>
        <v>0</v>
      </c>
      <c r="H200" s="89"/>
    </row>
    <row r="201" spans="1:8" x14ac:dyDescent="0.3">
      <c r="A201">
        <f t="shared" si="3"/>
        <v>0</v>
      </c>
      <c r="H201" s="89"/>
    </row>
    <row r="202" spans="1:8" x14ac:dyDescent="0.3">
      <c r="A202">
        <f t="shared" si="3"/>
        <v>0</v>
      </c>
      <c r="H202" s="89"/>
    </row>
    <row r="203" spans="1:8" x14ac:dyDescent="0.3">
      <c r="A203">
        <f t="shared" si="3"/>
        <v>0</v>
      </c>
      <c r="H203" s="89"/>
    </row>
    <row r="204" spans="1:8" x14ac:dyDescent="0.3">
      <c r="A204">
        <f t="shared" si="3"/>
        <v>0</v>
      </c>
      <c r="H204" s="89"/>
    </row>
    <row r="205" spans="1:8" x14ac:dyDescent="0.3">
      <c r="A205">
        <f t="shared" si="3"/>
        <v>0</v>
      </c>
      <c r="H205" s="89"/>
    </row>
    <row r="206" spans="1:8" x14ac:dyDescent="0.3">
      <c r="A206">
        <f t="shared" si="3"/>
        <v>0</v>
      </c>
      <c r="H206" s="89"/>
    </row>
    <row r="207" spans="1:8" x14ac:dyDescent="0.3">
      <c r="A207">
        <f t="shared" si="3"/>
        <v>0</v>
      </c>
      <c r="H207" s="89"/>
    </row>
    <row r="208" spans="1:8" x14ac:dyDescent="0.3">
      <c r="A208">
        <f t="shared" si="3"/>
        <v>0</v>
      </c>
      <c r="H208" s="89"/>
    </row>
    <row r="209" spans="1:8" x14ac:dyDescent="0.3">
      <c r="A209">
        <f t="shared" si="3"/>
        <v>0</v>
      </c>
      <c r="H209" s="89"/>
    </row>
    <row r="210" spans="1:8" x14ac:dyDescent="0.3">
      <c r="A210">
        <f t="shared" si="3"/>
        <v>0</v>
      </c>
      <c r="H210" s="89"/>
    </row>
    <row r="211" spans="1:8" x14ac:dyDescent="0.3">
      <c r="A211">
        <f t="shared" si="3"/>
        <v>0</v>
      </c>
      <c r="H211" s="89"/>
    </row>
    <row r="212" spans="1:8" x14ac:dyDescent="0.3">
      <c r="A212">
        <f t="shared" si="3"/>
        <v>0</v>
      </c>
      <c r="H212" s="89"/>
    </row>
    <row r="213" spans="1:8" x14ac:dyDescent="0.3">
      <c r="A213">
        <f t="shared" si="3"/>
        <v>0</v>
      </c>
      <c r="H213" s="89"/>
    </row>
    <row r="214" spans="1:8" x14ac:dyDescent="0.3">
      <c r="A214">
        <f t="shared" si="3"/>
        <v>0</v>
      </c>
      <c r="H214" s="89"/>
    </row>
    <row r="215" spans="1:8" x14ac:dyDescent="0.3">
      <c r="A215">
        <f t="shared" si="3"/>
        <v>0</v>
      </c>
      <c r="H215" s="89"/>
    </row>
    <row r="216" spans="1:8" x14ac:dyDescent="0.3">
      <c r="A216">
        <f t="shared" si="3"/>
        <v>0</v>
      </c>
      <c r="H216" s="89"/>
    </row>
    <row r="217" spans="1:8" x14ac:dyDescent="0.3">
      <c r="A217">
        <f t="shared" si="3"/>
        <v>0</v>
      </c>
      <c r="H217" s="89"/>
    </row>
    <row r="218" spans="1:8" x14ac:dyDescent="0.3">
      <c r="A218">
        <f t="shared" si="3"/>
        <v>0</v>
      </c>
      <c r="H218" s="89"/>
    </row>
    <row r="219" spans="1:8" x14ac:dyDescent="0.3">
      <c r="A219">
        <f t="shared" si="3"/>
        <v>0</v>
      </c>
      <c r="H219" s="89"/>
    </row>
    <row r="220" spans="1:8" x14ac:dyDescent="0.3">
      <c r="A220">
        <f t="shared" si="3"/>
        <v>0</v>
      </c>
      <c r="H220" s="89"/>
    </row>
    <row r="221" spans="1:8" x14ac:dyDescent="0.3">
      <c r="A221">
        <f t="shared" si="3"/>
        <v>0</v>
      </c>
      <c r="H221" s="89"/>
    </row>
    <row r="222" spans="1:8" x14ac:dyDescent="0.3">
      <c r="A222">
        <f t="shared" si="3"/>
        <v>0</v>
      </c>
      <c r="H222" s="89"/>
    </row>
    <row r="223" spans="1:8" x14ac:dyDescent="0.3">
      <c r="A223">
        <f t="shared" si="3"/>
        <v>0</v>
      </c>
      <c r="H223" s="89"/>
    </row>
    <row r="224" spans="1:8" x14ac:dyDescent="0.3">
      <c r="A224">
        <f t="shared" si="3"/>
        <v>0</v>
      </c>
      <c r="H224" s="89"/>
    </row>
    <row r="225" spans="1:8" x14ac:dyDescent="0.3">
      <c r="A225">
        <f t="shared" si="3"/>
        <v>0</v>
      </c>
      <c r="H225" s="89"/>
    </row>
    <row r="226" spans="1:8" x14ac:dyDescent="0.3">
      <c r="A226">
        <f t="shared" si="3"/>
        <v>0</v>
      </c>
      <c r="H226" s="89"/>
    </row>
    <row r="227" spans="1:8" x14ac:dyDescent="0.3">
      <c r="A227">
        <f t="shared" si="3"/>
        <v>0</v>
      </c>
      <c r="H227" s="89"/>
    </row>
    <row r="228" spans="1:8" x14ac:dyDescent="0.3">
      <c r="A228">
        <f t="shared" si="3"/>
        <v>0</v>
      </c>
      <c r="H228" s="89"/>
    </row>
    <row r="229" spans="1:8" x14ac:dyDescent="0.3">
      <c r="A229">
        <f t="shared" si="3"/>
        <v>0</v>
      </c>
      <c r="H229" s="89"/>
    </row>
    <row r="230" spans="1:8" x14ac:dyDescent="0.3">
      <c r="A230">
        <f t="shared" si="3"/>
        <v>0</v>
      </c>
      <c r="H230" s="89"/>
    </row>
    <row r="231" spans="1:8" x14ac:dyDescent="0.3">
      <c r="A231">
        <f t="shared" si="3"/>
        <v>0</v>
      </c>
      <c r="H231" s="89"/>
    </row>
    <row r="232" spans="1:8" x14ac:dyDescent="0.3">
      <c r="A232">
        <f t="shared" si="3"/>
        <v>0</v>
      </c>
      <c r="H232" s="89"/>
    </row>
    <row r="233" spans="1:8" x14ac:dyDescent="0.3">
      <c r="A233">
        <f t="shared" si="3"/>
        <v>0</v>
      </c>
      <c r="H233" s="89"/>
    </row>
    <row r="234" spans="1:8" x14ac:dyDescent="0.3">
      <c r="A234">
        <f t="shared" si="3"/>
        <v>0</v>
      </c>
      <c r="H234" s="89"/>
    </row>
    <row r="235" spans="1:8" x14ac:dyDescent="0.3">
      <c r="A235">
        <f t="shared" si="3"/>
        <v>0</v>
      </c>
      <c r="H235" s="89"/>
    </row>
    <row r="236" spans="1:8" x14ac:dyDescent="0.3">
      <c r="A236">
        <f t="shared" si="3"/>
        <v>0</v>
      </c>
      <c r="H236" s="89"/>
    </row>
    <row r="237" spans="1:8" x14ac:dyDescent="0.3">
      <c r="A237">
        <f t="shared" si="3"/>
        <v>0</v>
      </c>
      <c r="H237" s="89"/>
    </row>
    <row r="238" spans="1:8" x14ac:dyDescent="0.3">
      <c r="A238">
        <f t="shared" si="3"/>
        <v>0</v>
      </c>
      <c r="H238" s="89"/>
    </row>
    <row r="239" spans="1:8" x14ac:dyDescent="0.3">
      <c r="A239">
        <f t="shared" si="3"/>
        <v>0</v>
      </c>
      <c r="H239" s="89"/>
    </row>
    <row r="240" spans="1:8" x14ac:dyDescent="0.3">
      <c r="A240">
        <f t="shared" si="3"/>
        <v>0</v>
      </c>
      <c r="H240" s="89"/>
    </row>
    <row r="241" spans="1:8" x14ac:dyDescent="0.3">
      <c r="A241">
        <f t="shared" si="3"/>
        <v>0</v>
      </c>
      <c r="H241" s="89"/>
    </row>
    <row r="242" spans="1:8" x14ac:dyDescent="0.3">
      <c r="A242">
        <f t="shared" si="3"/>
        <v>0</v>
      </c>
      <c r="H242" s="89"/>
    </row>
    <row r="243" spans="1:8" x14ac:dyDescent="0.3">
      <c r="A243">
        <f t="shared" si="3"/>
        <v>0</v>
      </c>
      <c r="H243" s="89"/>
    </row>
    <row r="244" spans="1:8" x14ac:dyDescent="0.3">
      <c r="A244">
        <f t="shared" si="3"/>
        <v>0</v>
      </c>
      <c r="H244" s="89"/>
    </row>
    <row r="245" spans="1:8" x14ac:dyDescent="0.3">
      <c r="A245">
        <f t="shared" si="3"/>
        <v>0</v>
      </c>
      <c r="H245" s="89"/>
    </row>
    <row r="246" spans="1:8" x14ac:dyDescent="0.3">
      <c r="A246">
        <f t="shared" si="3"/>
        <v>0</v>
      </c>
      <c r="H246" s="89"/>
    </row>
    <row r="247" spans="1:8" x14ac:dyDescent="0.3">
      <c r="A247">
        <f t="shared" si="3"/>
        <v>0</v>
      </c>
      <c r="H247" s="89"/>
    </row>
    <row r="248" spans="1:8" x14ac:dyDescent="0.3">
      <c r="A248">
        <f t="shared" si="3"/>
        <v>0</v>
      </c>
      <c r="H248" s="89"/>
    </row>
    <row r="249" spans="1:8" x14ac:dyDescent="0.3">
      <c r="A249">
        <f t="shared" si="3"/>
        <v>0</v>
      </c>
      <c r="H249" s="89"/>
    </row>
    <row r="250" spans="1:8" x14ac:dyDescent="0.3">
      <c r="A250">
        <f t="shared" si="3"/>
        <v>0</v>
      </c>
      <c r="H250" s="89"/>
    </row>
    <row r="251" spans="1:8" x14ac:dyDescent="0.3">
      <c r="A251">
        <f t="shared" si="3"/>
        <v>0</v>
      </c>
      <c r="H251" s="89"/>
    </row>
    <row r="252" spans="1:8" x14ac:dyDescent="0.3">
      <c r="A252">
        <f t="shared" si="3"/>
        <v>0</v>
      </c>
      <c r="H252" s="89"/>
    </row>
    <row r="253" spans="1:8" x14ac:dyDescent="0.3">
      <c r="A253">
        <f t="shared" si="3"/>
        <v>0</v>
      </c>
      <c r="H253" s="89"/>
    </row>
    <row r="254" spans="1:8" x14ac:dyDescent="0.3">
      <c r="A254">
        <f t="shared" si="3"/>
        <v>0</v>
      </c>
      <c r="H254" s="89"/>
    </row>
    <row r="255" spans="1:8" x14ac:dyDescent="0.3">
      <c r="A255">
        <f t="shared" si="3"/>
        <v>0</v>
      </c>
      <c r="H255" s="89"/>
    </row>
    <row r="256" spans="1:8" x14ac:dyDescent="0.3">
      <c r="A256">
        <f t="shared" si="3"/>
        <v>0</v>
      </c>
      <c r="H256" s="89"/>
    </row>
    <row r="257" spans="1:8" x14ac:dyDescent="0.3">
      <c r="A257">
        <f t="shared" si="3"/>
        <v>0</v>
      </c>
      <c r="H257" s="89"/>
    </row>
    <row r="258" spans="1:8" x14ac:dyDescent="0.3">
      <c r="A258">
        <f t="shared" si="3"/>
        <v>0</v>
      </c>
      <c r="H258" s="89"/>
    </row>
    <row r="259" spans="1:8" x14ac:dyDescent="0.3">
      <c r="A259">
        <f t="shared" ref="A259:A322" si="4">IFERROR(VALUE(LEFT(B259,6)),0)</f>
        <v>0</v>
      </c>
      <c r="H259" s="89"/>
    </row>
    <row r="260" spans="1:8" x14ac:dyDescent="0.3">
      <c r="A260">
        <f t="shared" si="4"/>
        <v>0</v>
      </c>
      <c r="H260" s="89"/>
    </row>
    <row r="261" spans="1:8" x14ac:dyDescent="0.3">
      <c r="A261">
        <f t="shared" si="4"/>
        <v>0</v>
      </c>
    </row>
    <row r="262" spans="1:8" x14ac:dyDescent="0.3">
      <c r="A262">
        <f t="shared" si="4"/>
        <v>0</v>
      </c>
    </row>
    <row r="263" spans="1:8" x14ac:dyDescent="0.3">
      <c r="A263">
        <f t="shared" si="4"/>
        <v>0</v>
      </c>
    </row>
    <row r="264" spans="1:8" x14ac:dyDescent="0.3">
      <c r="A264">
        <f t="shared" si="4"/>
        <v>0</v>
      </c>
    </row>
    <row r="265" spans="1:8" x14ac:dyDescent="0.3">
      <c r="A265">
        <f t="shared" si="4"/>
        <v>0</v>
      </c>
    </row>
    <row r="266" spans="1:8" x14ac:dyDescent="0.3">
      <c r="A266">
        <f t="shared" si="4"/>
        <v>0</v>
      </c>
    </row>
    <row r="267" spans="1:8" x14ac:dyDescent="0.3">
      <c r="A267">
        <f t="shared" si="4"/>
        <v>0</v>
      </c>
    </row>
    <row r="268" spans="1:8" x14ac:dyDescent="0.3">
      <c r="A268">
        <f t="shared" si="4"/>
        <v>0</v>
      </c>
    </row>
    <row r="269" spans="1:8" x14ac:dyDescent="0.3">
      <c r="A269">
        <f t="shared" si="4"/>
        <v>0</v>
      </c>
    </row>
    <row r="270" spans="1:8" x14ac:dyDescent="0.3">
      <c r="A270">
        <f t="shared" si="4"/>
        <v>0</v>
      </c>
    </row>
    <row r="271" spans="1:8" x14ac:dyDescent="0.3">
      <c r="A271">
        <f t="shared" si="4"/>
        <v>0</v>
      </c>
    </row>
    <row r="272" spans="1:8" x14ac:dyDescent="0.3">
      <c r="A272">
        <f t="shared" si="4"/>
        <v>0</v>
      </c>
    </row>
    <row r="273" spans="1:1" x14ac:dyDescent="0.3">
      <c r="A273">
        <f t="shared" si="4"/>
        <v>0</v>
      </c>
    </row>
    <row r="274" spans="1:1" x14ac:dyDescent="0.3">
      <c r="A274">
        <f t="shared" si="4"/>
        <v>0</v>
      </c>
    </row>
    <row r="275" spans="1:1" x14ac:dyDescent="0.3">
      <c r="A275">
        <f t="shared" si="4"/>
        <v>0</v>
      </c>
    </row>
    <row r="276" spans="1:1" x14ac:dyDescent="0.3">
      <c r="A276">
        <f t="shared" si="4"/>
        <v>0</v>
      </c>
    </row>
    <row r="277" spans="1:1" x14ac:dyDescent="0.3">
      <c r="A277">
        <f t="shared" si="4"/>
        <v>0</v>
      </c>
    </row>
    <row r="278" spans="1:1" x14ac:dyDescent="0.3">
      <c r="A278">
        <f t="shared" si="4"/>
        <v>0</v>
      </c>
    </row>
    <row r="279" spans="1:1" x14ac:dyDescent="0.3">
      <c r="A279">
        <f t="shared" si="4"/>
        <v>0</v>
      </c>
    </row>
    <row r="280" spans="1:1" x14ac:dyDescent="0.3">
      <c r="A280">
        <f t="shared" si="4"/>
        <v>0</v>
      </c>
    </row>
    <row r="281" spans="1:1" x14ac:dyDescent="0.3">
      <c r="A281">
        <f t="shared" si="4"/>
        <v>0</v>
      </c>
    </row>
    <row r="282" spans="1:1" x14ac:dyDescent="0.3">
      <c r="A282">
        <f t="shared" si="4"/>
        <v>0</v>
      </c>
    </row>
    <row r="283" spans="1:1" x14ac:dyDescent="0.3">
      <c r="A283">
        <f t="shared" si="4"/>
        <v>0</v>
      </c>
    </row>
    <row r="284" spans="1:1" x14ac:dyDescent="0.3">
      <c r="A284">
        <f t="shared" si="4"/>
        <v>0</v>
      </c>
    </row>
    <row r="285" spans="1:1" x14ac:dyDescent="0.3">
      <c r="A285">
        <f t="shared" si="4"/>
        <v>0</v>
      </c>
    </row>
    <row r="286" spans="1:1" x14ac:dyDescent="0.3">
      <c r="A286">
        <f t="shared" si="4"/>
        <v>0</v>
      </c>
    </row>
    <row r="287" spans="1:1" x14ac:dyDescent="0.3">
      <c r="A287">
        <f t="shared" si="4"/>
        <v>0</v>
      </c>
    </row>
    <row r="288" spans="1:1" x14ac:dyDescent="0.3">
      <c r="A288">
        <f t="shared" si="4"/>
        <v>0</v>
      </c>
    </row>
    <row r="289" spans="1:1" x14ac:dyDescent="0.3">
      <c r="A289">
        <f t="shared" si="4"/>
        <v>0</v>
      </c>
    </row>
    <row r="290" spans="1:1" x14ac:dyDescent="0.3">
      <c r="A290">
        <f t="shared" si="4"/>
        <v>0</v>
      </c>
    </row>
    <row r="291" spans="1:1" x14ac:dyDescent="0.3">
      <c r="A291">
        <f t="shared" si="4"/>
        <v>0</v>
      </c>
    </row>
    <row r="292" spans="1:1" x14ac:dyDescent="0.3">
      <c r="A292">
        <f t="shared" si="4"/>
        <v>0</v>
      </c>
    </row>
    <row r="293" spans="1:1" x14ac:dyDescent="0.3">
      <c r="A293">
        <f t="shared" si="4"/>
        <v>0</v>
      </c>
    </row>
    <row r="294" spans="1:1" x14ac:dyDescent="0.3">
      <c r="A294">
        <f t="shared" si="4"/>
        <v>0</v>
      </c>
    </row>
    <row r="295" spans="1:1" x14ac:dyDescent="0.3">
      <c r="A295">
        <f t="shared" si="4"/>
        <v>0</v>
      </c>
    </row>
    <row r="296" spans="1:1" x14ac:dyDescent="0.3">
      <c r="A296">
        <f t="shared" si="4"/>
        <v>0</v>
      </c>
    </row>
    <row r="297" spans="1:1" x14ac:dyDescent="0.3">
      <c r="A297">
        <f t="shared" si="4"/>
        <v>0</v>
      </c>
    </row>
    <row r="298" spans="1:1" x14ac:dyDescent="0.3">
      <c r="A298">
        <f t="shared" si="4"/>
        <v>0</v>
      </c>
    </row>
    <row r="299" spans="1:1" x14ac:dyDescent="0.3">
      <c r="A299">
        <f t="shared" si="4"/>
        <v>0</v>
      </c>
    </row>
    <row r="300" spans="1:1" x14ac:dyDescent="0.3">
      <c r="A300">
        <f t="shared" si="4"/>
        <v>0</v>
      </c>
    </row>
    <row r="301" spans="1:1" x14ac:dyDescent="0.3">
      <c r="A301">
        <f t="shared" si="4"/>
        <v>0</v>
      </c>
    </row>
    <row r="302" spans="1:1" x14ac:dyDescent="0.3">
      <c r="A302">
        <f t="shared" si="4"/>
        <v>0</v>
      </c>
    </row>
    <row r="303" spans="1:1" x14ac:dyDescent="0.3">
      <c r="A303">
        <f t="shared" si="4"/>
        <v>0</v>
      </c>
    </row>
    <row r="304" spans="1:1" x14ac:dyDescent="0.3">
      <c r="A304">
        <f t="shared" si="4"/>
        <v>0</v>
      </c>
    </row>
    <row r="305" spans="1:1" x14ac:dyDescent="0.3">
      <c r="A305">
        <f t="shared" si="4"/>
        <v>0</v>
      </c>
    </row>
    <row r="306" spans="1:1" x14ac:dyDescent="0.3">
      <c r="A306">
        <f t="shared" si="4"/>
        <v>0</v>
      </c>
    </row>
    <row r="307" spans="1:1" x14ac:dyDescent="0.3">
      <c r="A307">
        <f t="shared" si="4"/>
        <v>0</v>
      </c>
    </row>
    <row r="308" spans="1:1" x14ac:dyDescent="0.3">
      <c r="A308">
        <f t="shared" si="4"/>
        <v>0</v>
      </c>
    </row>
    <row r="309" spans="1:1" x14ac:dyDescent="0.3">
      <c r="A309">
        <f t="shared" si="4"/>
        <v>0</v>
      </c>
    </row>
    <row r="310" spans="1:1" x14ac:dyDescent="0.3">
      <c r="A310">
        <f t="shared" si="4"/>
        <v>0</v>
      </c>
    </row>
    <row r="311" spans="1:1" x14ac:dyDescent="0.3">
      <c r="A311">
        <f t="shared" si="4"/>
        <v>0</v>
      </c>
    </row>
    <row r="312" spans="1:1" x14ac:dyDescent="0.3">
      <c r="A312">
        <f t="shared" si="4"/>
        <v>0</v>
      </c>
    </row>
    <row r="313" spans="1:1" x14ac:dyDescent="0.3">
      <c r="A313">
        <f t="shared" si="4"/>
        <v>0</v>
      </c>
    </row>
    <row r="314" spans="1:1" x14ac:dyDescent="0.3">
      <c r="A314">
        <f t="shared" si="4"/>
        <v>0</v>
      </c>
    </row>
    <row r="315" spans="1:1" x14ac:dyDescent="0.3">
      <c r="A315">
        <f t="shared" si="4"/>
        <v>0</v>
      </c>
    </row>
    <row r="316" spans="1:1" x14ac:dyDescent="0.3">
      <c r="A316">
        <f t="shared" si="4"/>
        <v>0</v>
      </c>
    </row>
    <row r="317" spans="1:1" x14ac:dyDescent="0.3">
      <c r="A317">
        <f t="shared" si="4"/>
        <v>0</v>
      </c>
    </row>
    <row r="318" spans="1:1" x14ac:dyDescent="0.3">
      <c r="A318">
        <f t="shared" si="4"/>
        <v>0</v>
      </c>
    </row>
    <row r="319" spans="1:1" x14ac:dyDescent="0.3">
      <c r="A319">
        <f t="shared" si="4"/>
        <v>0</v>
      </c>
    </row>
    <row r="320" spans="1:1" x14ac:dyDescent="0.3">
      <c r="A320">
        <f t="shared" si="4"/>
        <v>0</v>
      </c>
    </row>
    <row r="321" spans="1:1" x14ac:dyDescent="0.3">
      <c r="A321">
        <f t="shared" si="4"/>
        <v>0</v>
      </c>
    </row>
    <row r="322" spans="1:1" x14ac:dyDescent="0.3">
      <c r="A322">
        <f t="shared" si="4"/>
        <v>0</v>
      </c>
    </row>
    <row r="323" spans="1:1" x14ac:dyDescent="0.3">
      <c r="A323">
        <f t="shared" ref="A323:A386" si="5">IFERROR(VALUE(LEFT(B323,6)),0)</f>
        <v>0</v>
      </c>
    </row>
    <row r="324" spans="1:1" x14ac:dyDescent="0.3">
      <c r="A324">
        <f t="shared" si="5"/>
        <v>0</v>
      </c>
    </row>
    <row r="325" spans="1:1" x14ac:dyDescent="0.3">
      <c r="A325">
        <f t="shared" si="5"/>
        <v>0</v>
      </c>
    </row>
    <row r="326" spans="1:1" x14ac:dyDescent="0.3">
      <c r="A326">
        <f t="shared" si="5"/>
        <v>0</v>
      </c>
    </row>
    <row r="327" spans="1:1" x14ac:dyDescent="0.3">
      <c r="A327">
        <f t="shared" si="5"/>
        <v>0</v>
      </c>
    </row>
    <row r="328" spans="1:1" x14ac:dyDescent="0.3">
      <c r="A328">
        <f t="shared" si="5"/>
        <v>0</v>
      </c>
    </row>
    <row r="329" spans="1:1" x14ac:dyDescent="0.3">
      <c r="A329">
        <f t="shared" si="5"/>
        <v>0</v>
      </c>
    </row>
    <row r="330" spans="1:1" x14ac:dyDescent="0.3">
      <c r="A330">
        <f t="shared" si="5"/>
        <v>0</v>
      </c>
    </row>
    <row r="331" spans="1:1" x14ac:dyDescent="0.3">
      <c r="A331">
        <f t="shared" si="5"/>
        <v>0</v>
      </c>
    </row>
    <row r="332" spans="1:1" x14ac:dyDescent="0.3">
      <c r="A332">
        <f t="shared" si="5"/>
        <v>0</v>
      </c>
    </row>
    <row r="333" spans="1:1" x14ac:dyDescent="0.3">
      <c r="A333">
        <f t="shared" si="5"/>
        <v>0</v>
      </c>
    </row>
    <row r="334" spans="1:1" x14ac:dyDescent="0.3">
      <c r="A334">
        <f t="shared" si="5"/>
        <v>0</v>
      </c>
    </row>
    <row r="335" spans="1:1" x14ac:dyDescent="0.3">
      <c r="A335">
        <f t="shared" si="5"/>
        <v>0</v>
      </c>
    </row>
    <row r="336" spans="1:1" x14ac:dyDescent="0.3">
      <c r="A336">
        <f t="shared" si="5"/>
        <v>0</v>
      </c>
    </row>
    <row r="337" spans="1:1" x14ac:dyDescent="0.3">
      <c r="A337">
        <f t="shared" si="5"/>
        <v>0</v>
      </c>
    </row>
    <row r="338" spans="1:1" x14ac:dyDescent="0.3">
      <c r="A338">
        <f t="shared" si="5"/>
        <v>0</v>
      </c>
    </row>
    <row r="339" spans="1:1" x14ac:dyDescent="0.3">
      <c r="A339">
        <f t="shared" si="5"/>
        <v>0</v>
      </c>
    </row>
    <row r="340" spans="1:1" x14ac:dyDescent="0.3">
      <c r="A340">
        <f t="shared" si="5"/>
        <v>0</v>
      </c>
    </row>
    <row r="341" spans="1:1" x14ac:dyDescent="0.3">
      <c r="A341">
        <f t="shared" si="5"/>
        <v>0</v>
      </c>
    </row>
    <row r="342" spans="1:1" x14ac:dyDescent="0.3">
      <c r="A342">
        <f t="shared" si="5"/>
        <v>0</v>
      </c>
    </row>
    <row r="343" spans="1:1" x14ac:dyDescent="0.3">
      <c r="A343">
        <f t="shared" si="5"/>
        <v>0</v>
      </c>
    </row>
    <row r="344" spans="1:1" x14ac:dyDescent="0.3">
      <c r="A344">
        <f t="shared" si="5"/>
        <v>0</v>
      </c>
    </row>
    <row r="345" spans="1:1" x14ac:dyDescent="0.3">
      <c r="A345">
        <f t="shared" si="5"/>
        <v>0</v>
      </c>
    </row>
    <row r="346" spans="1:1" x14ac:dyDescent="0.3">
      <c r="A346">
        <f t="shared" si="5"/>
        <v>0</v>
      </c>
    </row>
    <row r="347" spans="1:1" x14ac:dyDescent="0.3">
      <c r="A347">
        <f t="shared" si="5"/>
        <v>0</v>
      </c>
    </row>
    <row r="348" spans="1:1" x14ac:dyDescent="0.3">
      <c r="A348">
        <f t="shared" si="5"/>
        <v>0</v>
      </c>
    </row>
    <row r="349" spans="1:1" x14ac:dyDescent="0.3">
      <c r="A349">
        <f t="shared" si="5"/>
        <v>0</v>
      </c>
    </row>
    <row r="350" spans="1:1" x14ac:dyDescent="0.3">
      <c r="A350">
        <f t="shared" si="5"/>
        <v>0</v>
      </c>
    </row>
    <row r="351" spans="1:1" x14ac:dyDescent="0.3">
      <c r="A351">
        <f t="shared" si="5"/>
        <v>0</v>
      </c>
    </row>
    <row r="352" spans="1:1" x14ac:dyDescent="0.3">
      <c r="A352">
        <f t="shared" si="5"/>
        <v>0</v>
      </c>
    </row>
    <row r="353" spans="1:1" x14ac:dyDescent="0.3">
      <c r="A353">
        <f t="shared" si="5"/>
        <v>0</v>
      </c>
    </row>
    <row r="354" spans="1:1" x14ac:dyDescent="0.3">
      <c r="A354">
        <f t="shared" si="5"/>
        <v>0</v>
      </c>
    </row>
    <row r="355" spans="1:1" x14ac:dyDescent="0.3">
      <c r="A355">
        <f t="shared" si="5"/>
        <v>0</v>
      </c>
    </row>
    <row r="356" spans="1:1" x14ac:dyDescent="0.3">
      <c r="A356">
        <f t="shared" si="5"/>
        <v>0</v>
      </c>
    </row>
    <row r="357" spans="1:1" x14ac:dyDescent="0.3">
      <c r="A357">
        <f t="shared" si="5"/>
        <v>0</v>
      </c>
    </row>
    <row r="358" spans="1:1" x14ac:dyDescent="0.3">
      <c r="A358">
        <f t="shared" si="5"/>
        <v>0</v>
      </c>
    </row>
    <row r="359" spans="1:1" x14ac:dyDescent="0.3">
      <c r="A359">
        <f t="shared" si="5"/>
        <v>0</v>
      </c>
    </row>
    <row r="360" spans="1:1" x14ac:dyDescent="0.3">
      <c r="A360">
        <f t="shared" si="5"/>
        <v>0</v>
      </c>
    </row>
    <row r="361" spans="1:1" x14ac:dyDescent="0.3">
      <c r="A361">
        <f t="shared" si="5"/>
        <v>0</v>
      </c>
    </row>
    <row r="362" spans="1:1" x14ac:dyDescent="0.3">
      <c r="A362">
        <f t="shared" si="5"/>
        <v>0</v>
      </c>
    </row>
    <row r="363" spans="1:1" x14ac:dyDescent="0.3">
      <c r="A363">
        <f t="shared" si="5"/>
        <v>0</v>
      </c>
    </row>
    <row r="364" spans="1:1" x14ac:dyDescent="0.3">
      <c r="A364">
        <f t="shared" si="5"/>
        <v>0</v>
      </c>
    </row>
    <row r="365" spans="1:1" x14ac:dyDescent="0.3">
      <c r="A365">
        <f t="shared" si="5"/>
        <v>0</v>
      </c>
    </row>
    <row r="366" spans="1:1" x14ac:dyDescent="0.3">
      <c r="A366">
        <f t="shared" si="5"/>
        <v>0</v>
      </c>
    </row>
    <row r="367" spans="1:1" x14ac:dyDescent="0.3">
      <c r="A367">
        <f t="shared" si="5"/>
        <v>0</v>
      </c>
    </row>
    <row r="368" spans="1:1" x14ac:dyDescent="0.3">
      <c r="A368">
        <f t="shared" si="5"/>
        <v>0</v>
      </c>
    </row>
    <row r="369" spans="1:1" x14ac:dyDescent="0.3">
      <c r="A369">
        <f t="shared" si="5"/>
        <v>0</v>
      </c>
    </row>
    <row r="370" spans="1:1" x14ac:dyDescent="0.3">
      <c r="A370">
        <f t="shared" si="5"/>
        <v>0</v>
      </c>
    </row>
    <row r="371" spans="1:1" x14ac:dyDescent="0.3">
      <c r="A371">
        <f t="shared" si="5"/>
        <v>0</v>
      </c>
    </row>
    <row r="372" spans="1:1" x14ac:dyDescent="0.3">
      <c r="A372">
        <f t="shared" si="5"/>
        <v>0</v>
      </c>
    </row>
    <row r="373" spans="1:1" x14ac:dyDescent="0.3">
      <c r="A373">
        <f t="shared" si="5"/>
        <v>0</v>
      </c>
    </row>
    <row r="374" spans="1:1" x14ac:dyDescent="0.3">
      <c r="A374">
        <f t="shared" si="5"/>
        <v>0</v>
      </c>
    </row>
    <row r="375" spans="1:1" x14ac:dyDescent="0.3">
      <c r="A375">
        <f t="shared" si="5"/>
        <v>0</v>
      </c>
    </row>
    <row r="376" spans="1:1" x14ac:dyDescent="0.3">
      <c r="A376">
        <f t="shared" si="5"/>
        <v>0</v>
      </c>
    </row>
    <row r="377" spans="1:1" x14ac:dyDescent="0.3">
      <c r="A377">
        <f t="shared" si="5"/>
        <v>0</v>
      </c>
    </row>
    <row r="378" spans="1:1" x14ac:dyDescent="0.3">
      <c r="A378">
        <f t="shared" si="5"/>
        <v>0</v>
      </c>
    </row>
    <row r="379" spans="1:1" x14ac:dyDescent="0.3">
      <c r="A379">
        <f t="shared" si="5"/>
        <v>0</v>
      </c>
    </row>
    <row r="380" spans="1:1" x14ac:dyDescent="0.3">
      <c r="A380">
        <f t="shared" si="5"/>
        <v>0</v>
      </c>
    </row>
    <row r="381" spans="1:1" x14ac:dyDescent="0.3">
      <c r="A381">
        <f t="shared" si="5"/>
        <v>0</v>
      </c>
    </row>
    <row r="382" spans="1:1" x14ac:dyDescent="0.3">
      <c r="A382">
        <f t="shared" si="5"/>
        <v>0</v>
      </c>
    </row>
    <row r="383" spans="1:1" x14ac:dyDescent="0.3">
      <c r="A383">
        <f t="shared" si="5"/>
        <v>0</v>
      </c>
    </row>
    <row r="384" spans="1:1" x14ac:dyDescent="0.3">
      <c r="A384">
        <f t="shared" si="5"/>
        <v>0</v>
      </c>
    </row>
    <row r="385" spans="1:1" x14ac:dyDescent="0.3">
      <c r="A385">
        <f t="shared" si="5"/>
        <v>0</v>
      </c>
    </row>
    <row r="386" spans="1:1" x14ac:dyDescent="0.3">
      <c r="A386">
        <f t="shared" si="5"/>
        <v>0</v>
      </c>
    </row>
    <row r="387" spans="1:1" x14ac:dyDescent="0.3">
      <c r="A387">
        <f t="shared" ref="A387:A450" si="6">IFERROR(VALUE(LEFT(B387,6)),0)</f>
        <v>0</v>
      </c>
    </row>
    <row r="388" spans="1:1" x14ac:dyDescent="0.3">
      <c r="A388">
        <f t="shared" si="6"/>
        <v>0</v>
      </c>
    </row>
    <row r="389" spans="1:1" x14ac:dyDescent="0.3">
      <c r="A389">
        <f t="shared" si="6"/>
        <v>0</v>
      </c>
    </row>
    <row r="390" spans="1:1" x14ac:dyDescent="0.3">
      <c r="A390">
        <f t="shared" si="6"/>
        <v>0</v>
      </c>
    </row>
    <row r="391" spans="1:1" x14ac:dyDescent="0.3">
      <c r="A391">
        <f t="shared" si="6"/>
        <v>0</v>
      </c>
    </row>
    <row r="392" spans="1:1" x14ac:dyDescent="0.3">
      <c r="A392">
        <f t="shared" si="6"/>
        <v>0</v>
      </c>
    </row>
    <row r="393" spans="1:1" x14ac:dyDescent="0.3">
      <c r="A393">
        <f t="shared" si="6"/>
        <v>0</v>
      </c>
    </row>
    <row r="394" spans="1:1" x14ac:dyDescent="0.3">
      <c r="A394">
        <f t="shared" si="6"/>
        <v>0</v>
      </c>
    </row>
    <row r="395" spans="1:1" x14ac:dyDescent="0.3">
      <c r="A395">
        <f t="shared" si="6"/>
        <v>0</v>
      </c>
    </row>
    <row r="396" spans="1:1" x14ac:dyDescent="0.3">
      <c r="A396">
        <f t="shared" si="6"/>
        <v>0</v>
      </c>
    </row>
    <row r="397" spans="1:1" x14ac:dyDescent="0.3">
      <c r="A397">
        <f t="shared" si="6"/>
        <v>0</v>
      </c>
    </row>
    <row r="398" spans="1:1" x14ac:dyDescent="0.3">
      <c r="A398">
        <f t="shared" si="6"/>
        <v>0</v>
      </c>
    </row>
    <row r="399" spans="1:1" x14ac:dyDescent="0.3">
      <c r="A399">
        <f t="shared" si="6"/>
        <v>0</v>
      </c>
    </row>
    <row r="400" spans="1:1" x14ac:dyDescent="0.3">
      <c r="A400">
        <f t="shared" si="6"/>
        <v>0</v>
      </c>
    </row>
    <row r="401" spans="1:1" x14ac:dyDescent="0.3">
      <c r="A401">
        <f t="shared" si="6"/>
        <v>0</v>
      </c>
    </row>
    <row r="402" spans="1:1" x14ac:dyDescent="0.3">
      <c r="A402">
        <f t="shared" si="6"/>
        <v>0</v>
      </c>
    </row>
    <row r="403" spans="1:1" x14ac:dyDescent="0.3">
      <c r="A403">
        <f t="shared" si="6"/>
        <v>0</v>
      </c>
    </row>
    <row r="404" spans="1:1" x14ac:dyDescent="0.3">
      <c r="A404">
        <f t="shared" si="6"/>
        <v>0</v>
      </c>
    </row>
    <row r="405" spans="1:1" x14ac:dyDescent="0.3">
      <c r="A405">
        <f t="shared" si="6"/>
        <v>0</v>
      </c>
    </row>
    <row r="406" spans="1:1" x14ac:dyDescent="0.3">
      <c r="A406">
        <f t="shared" si="6"/>
        <v>0</v>
      </c>
    </row>
    <row r="407" spans="1:1" x14ac:dyDescent="0.3">
      <c r="A407">
        <f t="shared" si="6"/>
        <v>0</v>
      </c>
    </row>
    <row r="408" spans="1:1" x14ac:dyDescent="0.3">
      <c r="A408">
        <f t="shared" si="6"/>
        <v>0</v>
      </c>
    </row>
    <row r="409" spans="1:1" x14ac:dyDescent="0.3">
      <c r="A409">
        <f t="shared" si="6"/>
        <v>0</v>
      </c>
    </row>
    <row r="410" spans="1:1" x14ac:dyDescent="0.3">
      <c r="A410">
        <f t="shared" si="6"/>
        <v>0</v>
      </c>
    </row>
    <row r="411" spans="1:1" x14ac:dyDescent="0.3">
      <c r="A411">
        <f t="shared" si="6"/>
        <v>0</v>
      </c>
    </row>
    <row r="412" spans="1:1" x14ac:dyDescent="0.3">
      <c r="A412">
        <f t="shared" si="6"/>
        <v>0</v>
      </c>
    </row>
    <row r="413" spans="1:1" x14ac:dyDescent="0.3">
      <c r="A413">
        <f t="shared" si="6"/>
        <v>0</v>
      </c>
    </row>
    <row r="414" spans="1:1" x14ac:dyDescent="0.3">
      <c r="A414">
        <f t="shared" si="6"/>
        <v>0</v>
      </c>
    </row>
    <row r="415" spans="1:1" x14ac:dyDescent="0.3">
      <c r="A415">
        <f t="shared" si="6"/>
        <v>0</v>
      </c>
    </row>
    <row r="416" spans="1:1" x14ac:dyDescent="0.3">
      <c r="A416">
        <f t="shared" si="6"/>
        <v>0</v>
      </c>
    </row>
    <row r="417" spans="1:1" x14ac:dyDescent="0.3">
      <c r="A417">
        <f t="shared" si="6"/>
        <v>0</v>
      </c>
    </row>
    <row r="418" spans="1:1" x14ac:dyDescent="0.3">
      <c r="A418">
        <f t="shared" si="6"/>
        <v>0</v>
      </c>
    </row>
    <row r="419" spans="1:1" x14ac:dyDescent="0.3">
      <c r="A419">
        <f t="shared" si="6"/>
        <v>0</v>
      </c>
    </row>
    <row r="420" spans="1:1" x14ac:dyDescent="0.3">
      <c r="A420">
        <f t="shared" si="6"/>
        <v>0</v>
      </c>
    </row>
    <row r="421" spans="1:1" x14ac:dyDescent="0.3">
      <c r="A421">
        <f t="shared" si="6"/>
        <v>0</v>
      </c>
    </row>
    <row r="422" spans="1:1" x14ac:dyDescent="0.3">
      <c r="A422">
        <f t="shared" si="6"/>
        <v>0</v>
      </c>
    </row>
    <row r="423" spans="1:1" x14ac:dyDescent="0.3">
      <c r="A423">
        <f t="shared" si="6"/>
        <v>0</v>
      </c>
    </row>
    <row r="424" spans="1:1" x14ac:dyDescent="0.3">
      <c r="A424">
        <f t="shared" si="6"/>
        <v>0</v>
      </c>
    </row>
    <row r="425" spans="1:1" x14ac:dyDescent="0.3">
      <c r="A425">
        <f t="shared" si="6"/>
        <v>0</v>
      </c>
    </row>
    <row r="426" spans="1:1" x14ac:dyDescent="0.3">
      <c r="A426">
        <f t="shared" si="6"/>
        <v>0</v>
      </c>
    </row>
    <row r="427" spans="1:1" x14ac:dyDescent="0.3">
      <c r="A427">
        <f t="shared" si="6"/>
        <v>0</v>
      </c>
    </row>
    <row r="428" spans="1:1" x14ac:dyDescent="0.3">
      <c r="A428">
        <f t="shared" si="6"/>
        <v>0</v>
      </c>
    </row>
    <row r="429" spans="1:1" x14ac:dyDescent="0.3">
      <c r="A429">
        <f t="shared" si="6"/>
        <v>0</v>
      </c>
    </row>
    <row r="430" spans="1:1" x14ac:dyDescent="0.3">
      <c r="A430">
        <f t="shared" si="6"/>
        <v>0</v>
      </c>
    </row>
    <row r="431" spans="1:1" x14ac:dyDescent="0.3">
      <c r="A431">
        <f t="shared" si="6"/>
        <v>0</v>
      </c>
    </row>
    <row r="432" spans="1:1" x14ac:dyDescent="0.3">
      <c r="A432">
        <f t="shared" si="6"/>
        <v>0</v>
      </c>
    </row>
    <row r="433" spans="1:1" x14ac:dyDescent="0.3">
      <c r="A433">
        <f t="shared" si="6"/>
        <v>0</v>
      </c>
    </row>
    <row r="434" spans="1:1" x14ac:dyDescent="0.3">
      <c r="A434">
        <f t="shared" si="6"/>
        <v>0</v>
      </c>
    </row>
    <row r="435" spans="1:1" x14ac:dyDescent="0.3">
      <c r="A435">
        <f t="shared" si="6"/>
        <v>0</v>
      </c>
    </row>
    <row r="436" spans="1:1" x14ac:dyDescent="0.3">
      <c r="A436">
        <f t="shared" si="6"/>
        <v>0</v>
      </c>
    </row>
    <row r="437" spans="1:1" x14ac:dyDescent="0.3">
      <c r="A437">
        <f t="shared" si="6"/>
        <v>0</v>
      </c>
    </row>
    <row r="438" spans="1:1" x14ac:dyDescent="0.3">
      <c r="A438">
        <f t="shared" si="6"/>
        <v>0</v>
      </c>
    </row>
    <row r="439" spans="1:1" x14ac:dyDescent="0.3">
      <c r="A439">
        <f t="shared" si="6"/>
        <v>0</v>
      </c>
    </row>
    <row r="440" spans="1:1" x14ac:dyDescent="0.3">
      <c r="A440">
        <f t="shared" si="6"/>
        <v>0</v>
      </c>
    </row>
    <row r="441" spans="1:1" x14ac:dyDescent="0.3">
      <c r="A441">
        <f t="shared" si="6"/>
        <v>0</v>
      </c>
    </row>
    <row r="442" spans="1:1" x14ac:dyDescent="0.3">
      <c r="A442">
        <f t="shared" si="6"/>
        <v>0</v>
      </c>
    </row>
    <row r="443" spans="1:1" x14ac:dyDescent="0.3">
      <c r="A443">
        <f t="shared" si="6"/>
        <v>0</v>
      </c>
    </row>
    <row r="444" spans="1:1" x14ac:dyDescent="0.3">
      <c r="A444">
        <f t="shared" si="6"/>
        <v>0</v>
      </c>
    </row>
    <row r="445" spans="1:1" x14ac:dyDescent="0.3">
      <c r="A445">
        <f t="shared" si="6"/>
        <v>0</v>
      </c>
    </row>
    <row r="446" spans="1:1" x14ac:dyDescent="0.3">
      <c r="A446">
        <f t="shared" si="6"/>
        <v>0</v>
      </c>
    </row>
    <row r="447" spans="1:1" x14ac:dyDescent="0.3">
      <c r="A447">
        <f t="shared" si="6"/>
        <v>0</v>
      </c>
    </row>
    <row r="448" spans="1:1" x14ac:dyDescent="0.3">
      <c r="A448">
        <f t="shared" si="6"/>
        <v>0</v>
      </c>
    </row>
    <row r="449" spans="1:1" x14ac:dyDescent="0.3">
      <c r="A449">
        <f t="shared" si="6"/>
        <v>0</v>
      </c>
    </row>
    <row r="450" spans="1:1" x14ac:dyDescent="0.3">
      <c r="A450">
        <f t="shared" si="6"/>
        <v>0</v>
      </c>
    </row>
    <row r="451" spans="1:1" x14ac:dyDescent="0.3">
      <c r="A451">
        <f t="shared" ref="A451:A514" si="7">IFERROR(VALUE(LEFT(B451,6)),0)</f>
        <v>0</v>
      </c>
    </row>
    <row r="452" spans="1:1" x14ac:dyDescent="0.3">
      <c r="A452">
        <f t="shared" si="7"/>
        <v>0</v>
      </c>
    </row>
    <row r="453" spans="1:1" x14ac:dyDescent="0.3">
      <c r="A453">
        <f t="shared" si="7"/>
        <v>0</v>
      </c>
    </row>
    <row r="454" spans="1:1" x14ac:dyDescent="0.3">
      <c r="A454">
        <f t="shared" si="7"/>
        <v>0</v>
      </c>
    </row>
    <row r="455" spans="1:1" x14ac:dyDescent="0.3">
      <c r="A455">
        <f t="shared" si="7"/>
        <v>0</v>
      </c>
    </row>
    <row r="456" spans="1:1" x14ac:dyDescent="0.3">
      <c r="A456">
        <f t="shared" si="7"/>
        <v>0</v>
      </c>
    </row>
    <row r="457" spans="1:1" x14ac:dyDescent="0.3">
      <c r="A457">
        <f t="shared" si="7"/>
        <v>0</v>
      </c>
    </row>
    <row r="458" spans="1:1" x14ac:dyDescent="0.3">
      <c r="A458">
        <f t="shared" si="7"/>
        <v>0</v>
      </c>
    </row>
    <row r="459" spans="1:1" x14ac:dyDescent="0.3">
      <c r="A459">
        <f t="shared" si="7"/>
        <v>0</v>
      </c>
    </row>
    <row r="460" spans="1:1" x14ac:dyDescent="0.3">
      <c r="A460">
        <f t="shared" si="7"/>
        <v>0</v>
      </c>
    </row>
    <row r="461" spans="1:1" x14ac:dyDescent="0.3">
      <c r="A461">
        <f t="shared" si="7"/>
        <v>0</v>
      </c>
    </row>
    <row r="462" spans="1:1" x14ac:dyDescent="0.3">
      <c r="A462">
        <f t="shared" si="7"/>
        <v>0</v>
      </c>
    </row>
    <row r="463" spans="1:1" x14ac:dyDescent="0.3">
      <c r="A463">
        <f t="shared" si="7"/>
        <v>0</v>
      </c>
    </row>
    <row r="464" spans="1:1" x14ac:dyDescent="0.3">
      <c r="A464">
        <f t="shared" si="7"/>
        <v>0</v>
      </c>
    </row>
    <row r="465" spans="1:1" x14ac:dyDescent="0.3">
      <c r="A465">
        <f t="shared" si="7"/>
        <v>0</v>
      </c>
    </row>
    <row r="466" spans="1:1" x14ac:dyDescent="0.3">
      <c r="A466">
        <f t="shared" si="7"/>
        <v>0</v>
      </c>
    </row>
    <row r="467" spans="1:1" x14ac:dyDescent="0.3">
      <c r="A467">
        <f t="shared" si="7"/>
        <v>0</v>
      </c>
    </row>
    <row r="468" spans="1:1" x14ac:dyDescent="0.3">
      <c r="A468">
        <f t="shared" si="7"/>
        <v>0</v>
      </c>
    </row>
    <row r="469" spans="1:1" x14ac:dyDescent="0.3">
      <c r="A469">
        <f t="shared" si="7"/>
        <v>0</v>
      </c>
    </row>
    <row r="470" spans="1:1" x14ac:dyDescent="0.3">
      <c r="A470">
        <f t="shared" si="7"/>
        <v>0</v>
      </c>
    </row>
    <row r="471" spans="1:1" x14ac:dyDescent="0.3">
      <c r="A471">
        <f t="shared" si="7"/>
        <v>0</v>
      </c>
    </row>
    <row r="472" spans="1:1" x14ac:dyDescent="0.3">
      <c r="A472">
        <f t="shared" si="7"/>
        <v>0</v>
      </c>
    </row>
    <row r="473" spans="1:1" x14ac:dyDescent="0.3">
      <c r="A473">
        <f t="shared" si="7"/>
        <v>0</v>
      </c>
    </row>
    <row r="474" spans="1:1" x14ac:dyDescent="0.3">
      <c r="A474">
        <f t="shared" si="7"/>
        <v>0</v>
      </c>
    </row>
    <row r="475" spans="1:1" x14ac:dyDescent="0.3">
      <c r="A475">
        <f t="shared" si="7"/>
        <v>0</v>
      </c>
    </row>
    <row r="476" spans="1:1" x14ac:dyDescent="0.3">
      <c r="A476">
        <f t="shared" si="7"/>
        <v>0</v>
      </c>
    </row>
    <row r="477" spans="1:1" x14ac:dyDescent="0.3">
      <c r="A477">
        <f t="shared" si="7"/>
        <v>0</v>
      </c>
    </row>
    <row r="478" spans="1:1" x14ac:dyDescent="0.3">
      <c r="A478">
        <f t="shared" si="7"/>
        <v>0</v>
      </c>
    </row>
    <row r="479" spans="1:1" x14ac:dyDescent="0.3">
      <c r="A479">
        <f t="shared" si="7"/>
        <v>0</v>
      </c>
    </row>
    <row r="480" spans="1:1" x14ac:dyDescent="0.3">
      <c r="A480">
        <f t="shared" si="7"/>
        <v>0</v>
      </c>
    </row>
    <row r="481" spans="1:1" x14ac:dyDescent="0.3">
      <c r="A481">
        <f t="shared" si="7"/>
        <v>0</v>
      </c>
    </row>
    <row r="482" spans="1:1" x14ac:dyDescent="0.3">
      <c r="A482">
        <f t="shared" si="7"/>
        <v>0</v>
      </c>
    </row>
    <row r="483" spans="1:1" x14ac:dyDescent="0.3">
      <c r="A483">
        <f t="shared" si="7"/>
        <v>0</v>
      </c>
    </row>
    <row r="484" spans="1:1" x14ac:dyDescent="0.3">
      <c r="A484">
        <f t="shared" si="7"/>
        <v>0</v>
      </c>
    </row>
    <row r="485" spans="1:1" x14ac:dyDescent="0.3">
      <c r="A485">
        <f t="shared" si="7"/>
        <v>0</v>
      </c>
    </row>
    <row r="486" spans="1:1" x14ac:dyDescent="0.3">
      <c r="A486">
        <f t="shared" si="7"/>
        <v>0</v>
      </c>
    </row>
    <row r="487" spans="1:1" x14ac:dyDescent="0.3">
      <c r="A487">
        <f t="shared" si="7"/>
        <v>0</v>
      </c>
    </row>
    <row r="488" spans="1:1" x14ac:dyDescent="0.3">
      <c r="A488">
        <f t="shared" si="7"/>
        <v>0</v>
      </c>
    </row>
    <row r="489" spans="1:1" x14ac:dyDescent="0.3">
      <c r="A489">
        <f t="shared" si="7"/>
        <v>0</v>
      </c>
    </row>
    <row r="490" spans="1:1" x14ac:dyDescent="0.3">
      <c r="A490">
        <f t="shared" si="7"/>
        <v>0</v>
      </c>
    </row>
    <row r="491" spans="1:1" x14ac:dyDescent="0.3">
      <c r="A491">
        <f t="shared" si="7"/>
        <v>0</v>
      </c>
    </row>
    <row r="492" spans="1:1" x14ac:dyDescent="0.3">
      <c r="A492">
        <f t="shared" si="7"/>
        <v>0</v>
      </c>
    </row>
    <row r="493" spans="1:1" x14ac:dyDescent="0.3">
      <c r="A493">
        <f t="shared" si="7"/>
        <v>0</v>
      </c>
    </row>
    <row r="494" spans="1:1" x14ac:dyDescent="0.3">
      <c r="A494">
        <f t="shared" si="7"/>
        <v>0</v>
      </c>
    </row>
    <row r="495" spans="1:1" x14ac:dyDescent="0.3">
      <c r="A495">
        <f t="shared" si="7"/>
        <v>0</v>
      </c>
    </row>
    <row r="496" spans="1:1" x14ac:dyDescent="0.3">
      <c r="A496">
        <f t="shared" si="7"/>
        <v>0</v>
      </c>
    </row>
    <row r="497" spans="1:1" x14ac:dyDescent="0.3">
      <c r="A497">
        <f t="shared" si="7"/>
        <v>0</v>
      </c>
    </row>
    <row r="498" spans="1:1" x14ac:dyDescent="0.3">
      <c r="A498">
        <f t="shared" si="7"/>
        <v>0</v>
      </c>
    </row>
    <row r="499" spans="1:1" x14ac:dyDescent="0.3">
      <c r="A499">
        <f t="shared" si="7"/>
        <v>0</v>
      </c>
    </row>
    <row r="500" spans="1:1" x14ac:dyDescent="0.3">
      <c r="A500">
        <f t="shared" si="7"/>
        <v>0</v>
      </c>
    </row>
    <row r="501" spans="1:1" x14ac:dyDescent="0.3">
      <c r="A501">
        <f t="shared" si="7"/>
        <v>0</v>
      </c>
    </row>
    <row r="502" spans="1:1" x14ac:dyDescent="0.3">
      <c r="A502">
        <f t="shared" si="7"/>
        <v>0</v>
      </c>
    </row>
    <row r="503" spans="1:1" x14ac:dyDescent="0.3">
      <c r="A503">
        <f t="shared" si="7"/>
        <v>0</v>
      </c>
    </row>
    <row r="504" spans="1:1" x14ac:dyDescent="0.3">
      <c r="A504">
        <f t="shared" si="7"/>
        <v>0</v>
      </c>
    </row>
    <row r="505" spans="1:1" x14ac:dyDescent="0.3">
      <c r="A505">
        <f t="shared" si="7"/>
        <v>0</v>
      </c>
    </row>
    <row r="506" spans="1:1" x14ac:dyDescent="0.3">
      <c r="A506">
        <f t="shared" si="7"/>
        <v>0</v>
      </c>
    </row>
    <row r="507" spans="1:1" x14ac:dyDescent="0.3">
      <c r="A507">
        <f t="shared" si="7"/>
        <v>0</v>
      </c>
    </row>
    <row r="508" spans="1:1" x14ac:dyDescent="0.3">
      <c r="A508">
        <f t="shared" si="7"/>
        <v>0</v>
      </c>
    </row>
    <row r="509" spans="1:1" x14ac:dyDescent="0.3">
      <c r="A509">
        <f t="shared" si="7"/>
        <v>0</v>
      </c>
    </row>
    <row r="510" spans="1:1" x14ac:dyDescent="0.3">
      <c r="A510">
        <f t="shared" si="7"/>
        <v>0</v>
      </c>
    </row>
    <row r="511" spans="1:1" x14ac:dyDescent="0.3">
      <c r="A511">
        <f t="shared" si="7"/>
        <v>0</v>
      </c>
    </row>
    <row r="512" spans="1:1" x14ac:dyDescent="0.3">
      <c r="A512">
        <f t="shared" si="7"/>
        <v>0</v>
      </c>
    </row>
    <row r="513" spans="1:1" x14ac:dyDescent="0.3">
      <c r="A513">
        <f t="shared" si="7"/>
        <v>0</v>
      </c>
    </row>
    <row r="514" spans="1:1" x14ac:dyDescent="0.3">
      <c r="A514">
        <f t="shared" si="7"/>
        <v>0</v>
      </c>
    </row>
    <row r="515" spans="1:1" x14ac:dyDescent="0.3">
      <c r="A515">
        <f t="shared" ref="A515:A523" si="8">IFERROR(VALUE(LEFT(B515,6)),0)</f>
        <v>0</v>
      </c>
    </row>
    <row r="516" spans="1:1" x14ac:dyDescent="0.3">
      <c r="A516">
        <f t="shared" si="8"/>
        <v>0</v>
      </c>
    </row>
    <row r="517" spans="1:1" x14ac:dyDescent="0.3">
      <c r="A517">
        <f t="shared" si="8"/>
        <v>0</v>
      </c>
    </row>
    <row r="518" spans="1:1" x14ac:dyDescent="0.3">
      <c r="A518">
        <f t="shared" si="8"/>
        <v>0</v>
      </c>
    </row>
    <row r="519" spans="1:1" x14ac:dyDescent="0.3">
      <c r="A519">
        <f t="shared" si="8"/>
        <v>0</v>
      </c>
    </row>
    <row r="520" spans="1:1" x14ac:dyDescent="0.3">
      <c r="A520">
        <f t="shared" si="8"/>
        <v>0</v>
      </c>
    </row>
    <row r="521" spans="1:1" x14ac:dyDescent="0.3">
      <c r="A521">
        <f t="shared" si="8"/>
        <v>0</v>
      </c>
    </row>
    <row r="522" spans="1:1" x14ac:dyDescent="0.3">
      <c r="A522">
        <f t="shared" si="8"/>
        <v>0</v>
      </c>
    </row>
    <row r="523" spans="1:1" x14ac:dyDescent="0.3">
      <c r="A523">
        <f t="shared" si="8"/>
        <v>0</v>
      </c>
    </row>
    <row r="524" spans="1:1" x14ac:dyDescent="0.3">
      <c r="A524">
        <f t="shared" ref="A524:A555" si="9">IFERROR(VALUE(LEFT(B527,6)),0)</f>
        <v>0</v>
      </c>
    </row>
    <row r="525" spans="1:1" x14ac:dyDescent="0.3">
      <c r="A525">
        <f t="shared" si="9"/>
        <v>0</v>
      </c>
    </row>
    <row r="526" spans="1:1" x14ac:dyDescent="0.3">
      <c r="A526">
        <f t="shared" si="9"/>
        <v>0</v>
      </c>
    </row>
    <row r="527" spans="1:1" x14ac:dyDescent="0.3">
      <c r="A527">
        <f t="shared" si="9"/>
        <v>0</v>
      </c>
    </row>
    <row r="528" spans="1:1" x14ac:dyDescent="0.3">
      <c r="A528">
        <f t="shared" si="9"/>
        <v>0</v>
      </c>
    </row>
    <row r="529" spans="1:1" x14ac:dyDescent="0.3">
      <c r="A529">
        <f t="shared" si="9"/>
        <v>0</v>
      </c>
    </row>
    <row r="530" spans="1:1" x14ac:dyDescent="0.3">
      <c r="A530">
        <f t="shared" si="9"/>
        <v>0</v>
      </c>
    </row>
    <row r="531" spans="1:1" x14ac:dyDescent="0.3">
      <c r="A531">
        <f t="shared" si="9"/>
        <v>0</v>
      </c>
    </row>
    <row r="532" spans="1:1" x14ac:dyDescent="0.3">
      <c r="A532">
        <f t="shared" si="9"/>
        <v>0</v>
      </c>
    </row>
    <row r="533" spans="1:1" x14ac:dyDescent="0.3">
      <c r="A533">
        <f t="shared" si="9"/>
        <v>0</v>
      </c>
    </row>
    <row r="534" spans="1:1" x14ac:dyDescent="0.3">
      <c r="A534">
        <f t="shared" si="9"/>
        <v>0</v>
      </c>
    </row>
    <row r="535" spans="1:1" x14ac:dyDescent="0.3">
      <c r="A535">
        <f t="shared" si="9"/>
        <v>0</v>
      </c>
    </row>
    <row r="536" spans="1:1" x14ac:dyDescent="0.3">
      <c r="A536">
        <f t="shared" si="9"/>
        <v>0</v>
      </c>
    </row>
    <row r="537" spans="1:1" x14ac:dyDescent="0.3">
      <c r="A537">
        <f t="shared" si="9"/>
        <v>0</v>
      </c>
    </row>
    <row r="538" spans="1:1" x14ac:dyDescent="0.3">
      <c r="A538">
        <f t="shared" si="9"/>
        <v>0</v>
      </c>
    </row>
    <row r="539" spans="1:1" x14ac:dyDescent="0.3">
      <c r="A539">
        <f t="shared" si="9"/>
        <v>0</v>
      </c>
    </row>
    <row r="540" spans="1:1" x14ac:dyDescent="0.3">
      <c r="A540">
        <f t="shared" si="9"/>
        <v>0</v>
      </c>
    </row>
    <row r="541" spans="1:1" x14ac:dyDescent="0.3">
      <c r="A541">
        <f t="shared" si="9"/>
        <v>0</v>
      </c>
    </row>
    <row r="542" spans="1:1" x14ac:dyDescent="0.3">
      <c r="A542">
        <f t="shared" si="9"/>
        <v>0</v>
      </c>
    </row>
    <row r="543" spans="1:1" x14ac:dyDescent="0.3">
      <c r="A543">
        <f t="shared" si="9"/>
        <v>0</v>
      </c>
    </row>
    <row r="544" spans="1:1" x14ac:dyDescent="0.3">
      <c r="A544">
        <f t="shared" si="9"/>
        <v>0</v>
      </c>
    </row>
    <row r="545" spans="1:1" x14ac:dyDescent="0.3">
      <c r="A545">
        <f t="shared" si="9"/>
        <v>0</v>
      </c>
    </row>
    <row r="546" spans="1:1" x14ac:dyDescent="0.3">
      <c r="A546">
        <f t="shared" si="9"/>
        <v>0</v>
      </c>
    </row>
    <row r="547" spans="1:1" x14ac:dyDescent="0.3">
      <c r="A547">
        <f t="shared" si="9"/>
        <v>0</v>
      </c>
    </row>
    <row r="548" spans="1:1" x14ac:dyDescent="0.3">
      <c r="A548">
        <f t="shared" si="9"/>
        <v>0</v>
      </c>
    </row>
    <row r="549" spans="1:1" x14ac:dyDescent="0.3">
      <c r="A549">
        <f t="shared" si="9"/>
        <v>0</v>
      </c>
    </row>
    <row r="550" spans="1:1" x14ac:dyDescent="0.3">
      <c r="A550">
        <f t="shared" si="9"/>
        <v>0</v>
      </c>
    </row>
    <row r="551" spans="1:1" x14ac:dyDescent="0.3">
      <c r="A551">
        <f t="shared" si="9"/>
        <v>0</v>
      </c>
    </row>
    <row r="552" spans="1:1" x14ac:dyDescent="0.3">
      <c r="A552">
        <f t="shared" si="9"/>
        <v>0</v>
      </c>
    </row>
    <row r="553" spans="1:1" x14ac:dyDescent="0.3">
      <c r="A553">
        <f t="shared" si="9"/>
        <v>0</v>
      </c>
    </row>
    <row r="554" spans="1:1" x14ac:dyDescent="0.3">
      <c r="A554">
        <f t="shared" si="9"/>
        <v>0</v>
      </c>
    </row>
    <row r="555" spans="1:1" x14ac:dyDescent="0.3">
      <c r="A555">
        <f t="shared" si="9"/>
        <v>0</v>
      </c>
    </row>
    <row r="556" spans="1:1" x14ac:dyDescent="0.3">
      <c r="A556">
        <f t="shared" ref="A556:A587" si="10">IFERROR(VALUE(LEFT(B559,6)),0)</f>
        <v>0</v>
      </c>
    </row>
    <row r="557" spans="1:1" x14ac:dyDescent="0.3">
      <c r="A557">
        <f t="shared" si="10"/>
        <v>0</v>
      </c>
    </row>
    <row r="558" spans="1:1" x14ac:dyDescent="0.3">
      <c r="A558">
        <f t="shared" si="10"/>
        <v>0</v>
      </c>
    </row>
    <row r="559" spans="1:1" x14ac:dyDescent="0.3">
      <c r="A559">
        <f t="shared" si="10"/>
        <v>0</v>
      </c>
    </row>
    <row r="560" spans="1:1" x14ac:dyDescent="0.3">
      <c r="A560">
        <f t="shared" si="10"/>
        <v>0</v>
      </c>
    </row>
    <row r="561" spans="1:1" x14ac:dyDescent="0.3">
      <c r="A561">
        <f t="shared" si="10"/>
        <v>0</v>
      </c>
    </row>
    <row r="562" spans="1:1" x14ac:dyDescent="0.3">
      <c r="A562">
        <f t="shared" si="10"/>
        <v>0</v>
      </c>
    </row>
    <row r="563" spans="1:1" x14ac:dyDescent="0.3">
      <c r="A563">
        <f t="shared" si="10"/>
        <v>0</v>
      </c>
    </row>
    <row r="564" spans="1:1" x14ac:dyDescent="0.3">
      <c r="A564">
        <f t="shared" si="10"/>
        <v>0</v>
      </c>
    </row>
    <row r="565" spans="1:1" x14ac:dyDescent="0.3">
      <c r="A565">
        <f t="shared" si="10"/>
        <v>0</v>
      </c>
    </row>
    <row r="566" spans="1:1" x14ac:dyDescent="0.3">
      <c r="A566">
        <f t="shared" si="10"/>
        <v>0</v>
      </c>
    </row>
    <row r="567" spans="1:1" x14ac:dyDescent="0.3">
      <c r="A567">
        <f t="shared" si="10"/>
        <v>0</v>
      </c>
    </row>
    <row r="568" spans="1:1" x14ac:dyDescent="0.3">
      <c r="A568">
        <f t="shared" si="10"/>
        <v>0</v>
      </c>
    </row>
    <row r="569" spans="1:1" x14ac:dyDescent="0.3">
      <c r="A569">
        <f t="shared" si="10"/>
        <v>0</v>
      </c>
    </row>
    <row r="570" spans="1:1" x14ac:dyDescent="0.3">
      <c r="A570">
        <f t="shared" si="10"/>
        <v>0</v>
      </c>
    </row>
    <row r="571" spans="1:1" x14ac:dyDescent="0.3">
      <c r="A571">
        <f t="shared" si="10"/>
        <v>0</v>
      </c>
    </row>
    <row r="572" spans="1:1" x14ac:dyDescent="0.3">
      <c r="A572">
        <f t="shared" si="10"/>
        <v>0</v>
      </c>
    </row>
    <row r="573" spans="1:1" x14ac:dyDescent="0.3">
      <c r="A573">
        <f t="shared" si="10"/>
        <v>0</v>
      </c>
    </row>
    <row r="574" spans="1:1" x14ac:dyDescent="0.3">
      <c r="A574">
        <f t="shared" si="10"/>
        <v>0</v>
      </c>
    </row>
    <row r="575" spans="1:1" x14ac:dyDescent="0.3">
      <c r="A575">
        <f t="shared" si="10"/>
        <v>0</v>
      </c>
    </row>
    <row r="576" spans="1:1" x14ac:dyDescent="0.3">
      <c r="A576">
        <f t="shared" si="10"/>
        <v>0</v>
      </c>
    </row>
    <row r="577" spans="1:1" x14ac:dyDescent="0.3">
      <c r="A577">
        <f t="shared" si="10"/>
        <v>0</v>
      </c>
    </row>
    <row r="578" spans="1:1" x14ac:dyDescent="0.3">
      <c r="A578">
        <f t="shared" si="10"/>
        <v>0</v>
      </c>
    </row>
    <row r="579" spans="1:1" x14ac:dyDescent="0.3">
      <c r="A579">
        <f t="shared" si="10"/>
        <v>0</v>
      </c>
    </row>
    <row r="580" spans="1:1" x14ac:dyDescent="0.3">
      <c r="A580">
        <f t="shared" si="10"/>
        <v>0</v>
      </c>
    </row>
    <row r="581" spans="1:1" x14ac:dyDescent="0.3">
      <c r="A581">
        <f t="shared" si="10"/>
        <v>0</v>
      </c>
    </row>
    <row r="582" spans="1:1" x14ac:dyDescent="0.3">
      <c r="A582">
        <f t="shared" si="10"/>
        <v>0</v>
      </c>
    </row>
    <row r="583" spans="1:1" x14ac:dyDescent="0.3">
      <c r="A583">
        <f t="shared" si="10"/>
        <v>0</v>
      </c>
    </row>
    <row r="584" spans="1:1" x14ac:dyDescent="0.3">
      <c r="A584">
        <f t="shared" si="10"/>
        <v>0</v>
      </c>
    </row>
    <row r="585" spans="1:1" x14ac:dyDescent="0.3">
      <c r="A585">
        <f t="shared" si="10"/>
        <v>0</v>
      </c>
    </row>
    <row r="586" spans="1:1" x14ac:dyDescent="0.3">
      <c r="A586">
        <f t="shared" si="10"/>
        <v>0</v>
      </c>
    </row>
    <row r="587" spans="1:1" x14ac:dyDescent="0.3">
      <c r="A587">
        <f t="shared" si="10"/>
        <v>0</v>
      </c>
    </row>
    <row r="588" spans="1:1" x14ac:dyDescent="0.3">
      <c r="A588">
        <f t="shared" ref="A588:A619" si="11">IFERROR(VALUE(LEFT(B591,6)),0)</f>
        <v>0</v>
      </c>
    </row>
    <row r="589" spans="1:1" x14ac:dyDescent="0.3">
      <c r="A589">
        <f t="shared" si="11"/>
        <v>0</v>
      </c>
    </row>
    <row r="590" spans="1:1" x14ac:dyDescent="0.3">
      <c r="A590">
        <f t="shared" si="11"/>
        <v>0</v>
      </c>
    </row>
    <row r="591" spans="1:1" x14ac:dyDescent="0.3">
      <c r="A591">
        <f t="shared" si="11"/>
        <v>0</v>
      </c>
    </row>
    <row r="592" spans="1:1" x14ac:dyDescent="0.3">
      <c r="A592">
        <f t="shared" si="11"/>
        <v>0</v>
      </c>
    </row>
    <row r="593" spans="1:1" x14ac:dyDescent="0.3">
      <c r="A593">
        <f t="shared" si="11"/>
        <v>0</v>
      </c>
    </row>
    <row r="594" spans="1:1" x14ac:dyDescent="0.3">
      <c r="A594">
        <f t="shared" si="11"/>
        <v>0</v>
      </c>
    </row>
    <row r="595" spans="1:1" x14ac:dyDescent="0.3">
      <c r="A595">
        <f t="shared" si="11"/>
        <v>0</v>
      </c>
    </row>
    <row r="596" spans="1:1" x14ac:dyDescent="0.3">
      <c r="A596">
        <f t="shared" si="11"/>
        <v>0</v>
      </c>
    </row>
    <row r="597" spans="1:1" x14ac:dyDescent="0.3">
      <c r="A597">
        <f t="shared" si="11"/>
        <v>0</v>
      </c>
    </row>
    <row r="598" spans="1:1" x14ac:dyDescent="0.3">
      <c r="A598">
        <f t="shared" si="11"/>
        <v>0</v>
      </c>
    </row>
    <row r="599" spans="1:1" x14ac:dyDescent="0.3">
      <c r="A599">
        <f t="shared" si="11"/>
        <v>0</v>
      </c>
    </row>
    <row r="600" spans="1:1" x14ac:dyDescent="0.3">
      <c r="A600">
        <f t="shared" si="11"/>
        <v>0</v>
      </c>
    </row>
    <row r="601" spans="1:1" x14ac:dyDescent="0.3">
      <c r="A601">
        <f t="shared" si="11"/>
        <v>0</v>
      </c>
    </row>
    <row r="602" spans="1:1" x14ac:dyDescent="0.3">
      <c r="A602">
        <f t="shared" si="11"/>
        <v>0</v>
      </c>
    </row>
    <row r="603" spans="1:1" x14ac:dyDescent="0.3">
      <c r="A603">
        <f t="shared" si="11"/>
        <v>0</v>
      </c>
    </row>
    <row r="604" spans="1:1" x14ac:dyDescent="0.3">
      <c r="A604">
        <f t="shared" si="11"/>
        <v>0</v>
      </c>
    </row>
    <row r="605" spans="1:1" x14ac:dyDescent="0.3">
      <c r="A605">
        <f t="shared" si="11"/>
        <v>0</v>
      </c>
    </row>
    <row r="606" spans="1:1" x14ac:dyDescent="0.3">
      <c r="A606">
        <f t="shared" si="11"/>
        <v>0</v>
      </c>
    </row>
    <row r="607" spans="1:1" x14ac:dyDescent="0.3">
      <c r="A607">
        <f t="shared" si="11"/>
        <v>0</v>
      </c>
    </row>
    <row r="608" spans="1:1" x14ac:dyDescent="0.3">
      <c r="A608">
        <f t="shared" si="11"/>
        <v>0</v>
      </c>
    </row>
    <row r="609" spans="1:1" x14ac:dyDescent="0.3">
      <c r="A609">
        <f t="shared" si="11"/>
        <v>0</v>
      </c>
    </row>
    <row r="610" spans="1:1" x14ac:dyDescent="0.3">
      <c r="A610">
        <f t="shared" si="11"/>
        <v>0</v>
      </c>
    </row>
    <row r="611" spans="1:1" x14ac:dyDescent="0.3">
      <c r="A611">
        <f t="shared" si="11"/>
        <v>0</v>
      </c>
    </row>
    <row r="612" spans="1:1" x14ac:dyDescent="0.3">
      <c r="A612">
        <f t="shared" si="11"/>
        <v>0</v>
      </c>
    </row>
    <row r="613" spans="1:1" x14ac:dyDescent="0.3">
      <c r="A613">
        <f t="shared" si="11"/>
        <v>0</v>
      </c>
    </row>
    <row r="614" spans="1:1" x14ac:dyDescent="0.3">
      <c r="A614">
        <f t="shared" si="11"/>
        <v>0</v>
      </c>
    </row>
    <row r="615" spans="1:1" x14ac:dyDescent="0.3">
      <c r="A615">
        <f t="shared" si="11"/>
        <v>0</v>
      </c>
    </row>
    <row r="616" spans="1:1" x14ac:dyDescent="0.3">
      <c r="A616">
        <f t="shared" si="11"/>
        <v>0</v>
      </c>
    </row>
    <row r="617" spans="1:1" x14ac:dyDescent="0.3">
      <c r="A617">
        <f t="shared" si="11"/>
        <v>0</v>
      </c>
    </row>
    <row r="618" spans="1:1" x14ac:dyDescent="0.3">
      <c r="A618">
        <f t="shared" si="11"/>
        <v>0</v>
      </c>
    </row>
    <row r="619" spans="1:1" x14ac:dyDescent="0.3">
      <c r="A619">
        <f t="shared" si="11"/>
        <v>0</v>
      </c>
    </row>
    <row r="620" spans="1:1" x14ac:dyDescent="0.3">
      <c r="A620">
        <f t="shared" ref="A620:A651" si="12">IFERROR(VALUE(LEFT(B623,6)),0)</f>
        <v>0</v>
      </c>
    </row>
    <row r="621" spans="1:1" x14ac:dyDescent="0.3">
      <c r="A621">
        <f t="shared" si="12"/>
        <v>0</v>
      </c>
    </row>
    <row r="622" spans="1:1" x14ac:dyDescent="0.3">
      <c r="A622">
        <f t="shared" si="12"/>
        <v>0</v>
      </c>
    </row>
    <row r="623" spans="1:1" x14ac:dyDescent="0.3">
      <c r="A623">
        <f t="shared" si="12"/>
        <v>0</v>
      </c>
    </row>
    <row r="624" spans="1:1" x14ac:dyDescent="0.3">
      <c r="A624">
        <f t="shared" si="12"/>
        <v>0</v>
      </c>
    </row>
    <row r="625" spans="1:1" x14ac:dyDescent="0.3">
      <c r="A625">
        <f t="shared" si="12"/>
        <v>0</v>
      </c>
    </row>
    <row r="626" spans="1:1" x14ac:dyDescent="0.3">
      <c r="A626">
        <f t="shared" si="12"/>
        <v>0</v>
      </c>
    </row>
    <row r="627" spans="1:1" x14ac:dyDescent="0.3">
      <c r="A627">
        <f t="shared" si="12"/>
        <v>0</v>
      </c>
    </row>
    <row r="628" spans="1:1" x14ac:dyDescent="0.3">
      <c r="A628">
        <f t="shared" si="12"/>
        <v>0</v>
      </c>
    </row>
    <row r="629" spans="1:1" x14ac:dyDescent="0.3">
      <c r="A629">
        <f t="shared" si="12"/>
        <v>0</v>
      </c>
    </row>
    <row r="630" spans="1:1" x14ac:dyDescent="0.3">
      <c r="A630">
        <f t="shared" si="12"/>
        <v>0</v>
      </c>
    </row>
    <row r="631" spans="1:1" x14ac:dyDescent="0.3">
      <c r="A631">
        <f t="shared" si="12"/>
        <v>0</v>
      </c>
    </row>
    <row r="632" spans="1:1" x14ac:dyDescent="0.3">
      <c r="A632">
        <f t="shared" si="12"/>
        <v>0</v>
      </c>
    </row>
    <row r="633" spans="1:1" x14ac:dyDescent="0.3">
      <c r="A633">
        <f t="shared" si="12"/>
        <v>0</v>
      </c>
    </row>
    <row r="634" spans="1:1" x14ac:dyDescent="0.3">
      <c r="A634">
        <f t="shared" si="12"/>
        <v>0</v>
      </c>
    </row>
    <row r="635" spans="1:1" x14ac:dyDescent="0.3">
      <c r="A635">
        <f t="shared" si="12"/>
        <v>0</v>
      </c>
    </row>
    <row r="636" spans="1:1" x14ac:dyDescent="0.3">
      <c r="A636">
        <f t="shared" si="12"/>
        <v>0</v>
      </c>
    </row>
    <row r="637" spans="1:1" x14ac:dyDescent="0.3">
      <c r="A637">
        <f t="shared" si="12"/>
        <v>0</v>
      </c>
    </row>
    <row r="638" spans="1:1" x14ac:dyDescent="0.3">
      <c r="A638">
        <f t="shared" si="12"/>
        <v>0</v>
      </c>
    </row>
    <row r="639" spans="1:1" x14ac:dyDescent="0.3">
      <c r="A639">
        <f t="shared" si="12"/>
        <v>0</v>
      </c>
    </row>
    <row r="640" spans="1:1" x14ac:dyDescent="0.3">
      <c r="A640">
        <f t="shared" si="12"/>
        <v>0</v>
      </c>
    </row>
    <row r="641" spans="1:1" x14ac:dyDescent="0.3">
      <c r="A641">
        <f t="shared" si="12"/>
        <v>0</v>
      </c>
    </row>
    <row r="642" spans="1:1" x14ac:dyDescent="0.3">
      <c r="A642">
        <f t="shared" si="12"/>
        <v>0</v>
      </c>
    </row>
    <row r="643" spans="1:1" x14ac:dyDescent="0.3">
      <c r="A643">
        <f t="shared" si="12"/>
        <v>0</v>
      </c>
    </row>
    <row r="644" spans="1:1" x14ac:dyDescent="0.3">
      <c r="A644">
        <f t="shared" si="12"/>
        <v>0</v>
      </c>
    </row>
    <row r="645" spans="1:1" x14ac:dyDescent="0.3">
      <c r="A645">
        <f t="shared" si="12"/>
        <v>0</v>
      </c>
    </row>
    <row r="646" spans="1:1" x14ac:dyDescent="0.3">
      <c r="A646">
        <f t="shared" si="12"/>
        <v>0</v>
      </c>
    </row>
    <row r="647" spans="1:1" x14ac:dyDescent="0.3">
      <c r="A647">
        <f t="shared" si="12"/>
        <v>0</v>
      </c>
    </row>
    <row r="648" spans="1:1" x14ac:dyDescent="0.3">
      <c r="A648">
        <f t="shared" si="12"/>
        <v>0</v>
      </c>
    </row>
    <row r="649" spans="1:1" x14ac:dyDescent="0.3">
      <c r="A649">
        <f t="shared" si="12"/>
        <v>0</v>
      </c>
    </row>
    <row r="650" spans="1:1" x14ac:dyDescent="0.3">
      <c r="A650">
        <f t="shared" si="12"/>
        <v>0</v>
      </c>
    </row>
    <row r="651" spans="1:1" x14ac:dyDescent="0.3">
      <c r="A651">
        <f t="shared" si="12"/>
        <v>0</v>
      </c>
    </row>
    <row r="652" spans="1:1" x14ac:dyDescent="0.3">
      <c r="A652">
        <f t="shared" ref="A652:A683" si="13">IFERROR(VALUE(LEFT(B655,6)),0)</f>
        <v>0</v>
      </c>
    </row>
    <row r="653" spans="1:1" x14ac:dyDescent="0.3">
      <c r="A653">
        <f t="shared" si="13"/>
        <v>0</v>
      </c>
    </row>
    <row r="654" spans="1:1" x14ac:dyDescent="0.3">
      <c r="A654">
        <f t="shared" si="13"/>
        <v>0</v>
      </c>
    </row>
    <row r="655" spans="1:1" x14ac:dyDescent="0.3">
      <c r="A655">
        <f t="shared" si="13"/>
        <v>0</v>
      </c>
    </row>
    <row r="656" spans="1:1" x14ac:dyDescent="0.3">
      <c r="A656">
        <f t="shared" si="13"/>
        <v>0</v>
      </c>
    </row>
    <row r="657" spans="1:1" x14ac:dyDescent="0.3">
      <c r="A657">
        <f t="shared" si="13"/>
        <v>0</v>
      </c>
    </row>
    <row r="658" spans="1:1" x14ac:dyDescent="0.3">
      <c r="A658">
        <f t="shared" si="13"/>
        <v>0</v>
      </c>
    </row>
    <row r="659" spans="1:1" x14ac:dyDescent="0.3">
      <c r="A659">
        <f t="shared" si="13"/>
        <v>0</v>
      </c>
    </row>
    <row r="660" spans="1:1" x14ac:dyDescent="0.3">
      <c r="A660">
        <f t="shared" si="13"/>
        <v>0</v>
      </c>
    </row>
    <row r="661" spans="1:1" x14ac:dyDescent="0.3">
      <c r="A661">
        <f t="shared" si="13"/>
        <v>0</v>
      </c>
    </row>
    <row r="662" spans="1:1" x14ac:dyDescent="0.3">
      <c r="A662">
        <f t="shared" si="13"/>
        <v>0</v>
      </c>
    </row>
    <row r="663" spans="1:1" x14ac:dyDescent="0.3">
      <c r="A663">
        <f t="shared" si="13"/>
        <v>0</v>
      </c>
    </row>
    <row r="664" spans="1:1" x14ac:dyDescent="0.3">
      <c r="A664">
        <f t="shared" si="13"/>
        <v>0</v>
      </c>
    </row>
    <row r="665" spans="1:1" x14ac:dyDescent="0.3">
      <c r="A665">
        <f t="shared" si="13"/>
        <v>0</v>
      </c>
    </row>
    <row r="666" spans="1:1" x14ac:dyDescent="0.3">
      <c r="A666">
        <f t="shared" si="13"/>
        <v>0</v>
      </c>
    </row>
    <row r="667" spans="1:1" x14ac:dyDescent="0.3">
      <c r="A667">
        <f t="shared" si="13"/>
        <v>0</v>
      </c>
    </row>
    <row r="668" spans="1:1" x14ac:dyDescent="0.3">
      <c r="A668">
        <f t="shared" si="13"/>
        <v>0</v>
      </c>
    </row>
    <row r="669" spans="1:1" x14ac:dyDescent="0.3">
      <c r="A669">
        <f t="shared" si="13"/>
        <v>0</v>
      </c>
    </row>
    <row r="670" spans="1:1" x14ac:dyDescent="0.3">
      <c r="A670">
        <f t="shared" si="13"/>
        <v>0</v>
      </c>
    </row>
    <row r="671" spans="1:1" x14ac:dyDescent="0.3">
      <c r="A671">
        <f t="shared" si="13"/>
        <v>0</v>
      </c>
    </row>
    <row r="672" spans="1:1" x14ac:dyDescent="0.3">
      <c r="A672">
        <f t="shared" si="13"/>
        <v>0</v>
      </c>
    </row>
    <row r="673" spans="1:1" x14ac:dyDescent="0.3">
      <c r="A673">
        <f t="shared" si="13"/>
        <v>0</v>
      </c>
    </row>
    <row r="674" spans="1:1" x14ac:dyDescent="0.3">
      <c r="A674">
        <f t="shared" si="13"/>
        <v>0</v>
      </c>
    </row>
    <row r="675" spans="1:1" x14ac:dyDescent="0.3">
      <c r="A675">
        <f t="shared" si="13"/>
        <v>0</v>
      </c>
    </row>
    <row r="676" spans="1:1" x14ac:dyDescent="0.3">
      <c r="A676">
        <f t="shared" si="13"/>
        <v>0</v>
      </c>
    </row>
    <row r="677" spans="1:1" x14ac:dyDescent="0.3">
      <c r="A677">
        <f t="shared" si="13"/>
        <v>0</v>
      </c>
    </row>
    <row r="678" spans="1:1" x14ac:dyDescent="0.3">
      <c r="A678">
        <f t="shared" si="13"/>
        <v>0</v>
      </c>
    </row>
    <row r="679" spans="1:1" x14ac:dyDescent="0.3">
      <c r="A679">
        <f t="shared" si="13"/>
        <v>0</v>
      </c>
    </row>
    <row r="680" spans="1:1" x14ac:dyDescent="0.3">
      <c r="A680">
        <f t="shared" si="13"/>
        <v>0</v>
      </c>
    </row>
    <row r="681" spans="1:1" x14ac:dyDescent="0.3">
      <c r="A681">
        <f t="shared" si="13"/>
        <v>0</v>
      </c>
    </row>
    <row r="682" spans="1:1" x14ac:dyDescent="0.3">
      <c r="A682">
        <f t="shared" si="13"/>
        <v>0</v>
      </c>
    </row>
    <row r="683" spans="1:1" x14ac:dyDescent="0.3">
      <c r="A683">
        <f t="shared" si="13"/>
        <v>0</v>
      </c>
    </row>
    <row r="684" spans="1:1" x14ac:dyDescent="0.3">
      <c r="A684">
        <f t="shared" ref="A684:A697" si="14">IFERROR(VALUE(LEFT(B687,6)),0)</f>
        <v>0</v>
      </c>
    </row>
    <row r="685" spans="1:1" x14ac:dyDescent="0.3">
      <c r="A685">
        <f t="shared" si="14"/>
        <v>0</v>
      </c>
    </row>
    <row r="686" spans="1:1" x14ac:dyDescent="0.3">
      <c r="A686">
        <f t="shared" si="14"/>
        <v>0</v>
      </c>
    </row>
    <row r="687" spans="1:1" x14ac:dyDescent="0.3">
      <c r="A687">
        <f t="shared" si="14"/>
        <v>0</v>
      </c>
    </row>
    <row r="688" spans="1:1" x14ac:dyDescent="0.3">
      <c r="A688">
        <f t="shared" si="14"/>
        <v>0</v>
      </c>
    </row>
    <row r="689" spans="1:1" x14ac:dyDescent="0.3">
      <c r="A689">
        <f t="shared" si="14"/>
        <v>0</v>
      </c>
    </row>
    <row r="690" spans="1:1" x14ac:dyDescent="0.3">
      <c r="A690">
        <f t="shared" si="14"/>
        <v>0</v>
      </c>
    </row>
    <row r="691" spans="1:1" x14ac:dyDescent="0.3">
      <c r="A691">
        <f t="shared" si="14"/>
        <v>0</v>
      </c>
    </row>
    <row r="692" spans="1:1" x14ac:dyDescent="0.3">
      <c r="A692">
        <f t="shared" si="14"/>
        <v>0</v>
      </c>
    </row>
    <row r="693" spans="1:1" x14ac:dyDescent="0.3">
      <c r="A693">
        <f t="shared" si="14"/>
        <v>0</v>
      </c>
    </row>
    <row r="694" spans="1:1" x14ac:dyDescent="0.3">
      <c r="A694">
        <f t="shared" si="14"/>
        <v>0</v>
      </c>
    </row>
    <row r="695" spans="1:1" x14ac:dyDescent="0.3">
      <c r="A695">
        <f t="shared" si="14"/>
        <v>0</v>
      </c>
    </row>
    <row r="696" spans="1:1" x14ac:dyDescent="0.3">
      <c r="A696">
        <f t="shared" si="14"/>
        <v>0</v>
      </c>
    </row>
    <row r="697" spans="1:1" x14ac:dyDescent="0.3">
      <c r="A697">
        <f t="shared" si="14"/>
        <v>0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70"/>
  <sheetViews>
    <sheetView showGridLines="0" zoomScaleNormal="100" workbookViewId="0">
      <selection activeCell="G63" sqref="G63"/>
    </sheetView>
  </sheetViews>
  <sheetFormatPr defaultColWidth="17.21875" defaultRowHeight="11.25" customHeight="1" x14ac:dyDescent="0.25"/>
  <cols>
    <col min="1" max="1" width="7" style="92" customWidth="1"/>
    <col min="2" max="2" width="56.6640625" style="92" bestFit="1" customWidth="1"/>
    <col min="3" max="3" width="11.109375" style="92" bestFit="1" customWidth="1"/>
    <col min="4" max="4" width="14" style="92" bestFit="1" customWidth="1"/>
    <col min="5" max="5" width="14.21875" style="92" customWidth="1"/>
    <col min="6" max="6" width="13.88671875" style="92" customWidth="1"/>
    <col min="7" max="7" width="20.88671875" style="92" customWidth="1"/>
    <col min="8" max="8" width="14" style="92" bestFit="1" customWidth="1"/>
    <col min="9" max="9" width="13.77734375" style="92" bestFit="1" customWidth="1"/>
    <col min="10" max="10" width="14" style="92" bestFit="1" customWidth="1"/>
    <col min="11" max="11" width="125.77734375" style="92" customWidth="1"/>
    <col min="12" max="12" width="2.88671875" style="92" customWidth="1"/>
    <col min="13" max="13" width="18.21875" style="92" customWidth="1"/>
    <col min="14" max="22" width="19.33203125" style="92" customWidth="1"/>
    <col min="23" max="26" width="10" style="92" customWidth="1"/>
    <col min="27" max="16384" width="17.21875" style="92"/>
  </cols>
  <sheetData>
    <row r="1" spans="1:12" ht="11.25" customHeight="1" x14ac:dyDescent="0.25">
      <c r="C1" s="162"/>
      <c r="D1" s="162"/>
      <c r="E1" s="162"/>
      <c r="F1" s="162"/>
    </row>
    <row r="2" spans="1:12" ht="11.25" customHeight="1" x14ac:dyDescent="0.25">
      <c r="A2" s="163">
        <f>Menu!C4</f>
        <v>0</v>
      </c>
      <c r="B2" s="164"/>
      <c r="C2" s="164"/>
      <c r="D2" s="164"/>
      <c r="E2" s="164"/>
      <c r="F2" s="164"/>
      <c r="G2" s="164"/>
      <c r="H2" s="164"/>
      <c r="I2" s="164"/>
      <c r="J2" s="164"/>
      <c r="K2" s="3"/>
      <c r="L2" s="3"/>
    </row>
    <row r="3" spans="1:12" ht="10.8" customHeight="1" x14ac:dyDescent="0.25">
      <c r="A3" s="165" t="s">
        <v>428</v>
      </c>
      <c r="B3" s="166"/>
      <c r="C3" s="166"/>
      <c r="D3" s="166"/>
      <c r="E3" s="166"/>
      <c r="F3" s="166"/>
      <c r="G3" s="166"/>
      <c r="H3" s="166"/>
      <c r="I3" s="166"/>
      <c r="J3" s="166"/>
      <c r="K3" s="4"/>
      <c r="L3" s="4"/>
    </row>
    <row r="4" spans="1:12" ht="11.25" customHeight="1" x14ac:dyDescent="0.25">
      <c r="A4" s="5"/>
      <c r="B4" s="6"/>
      <c r="C4" s="6"/>
      <c r="D4" s="7" t="s">
        <v>125</v>
      </c>
      <c r="E4" s="7" t="s">
        <v>124</v>
      </c>
      <c r="F4" s="8" t="s">
        <v>120</v>
      </c>
      <c r="G4" s="7" t="s">
        <v>123</v>
      </c>
      <c r="H4" s="7" t="s">
        <v>122</v>
      </c>
      <c r="I4" s="7" t="s">
        <v>121</v>
      </c>
      <c r="J4" s="7" t="s">
        <v>120</v>
      </c>
      <c r="K4" s="7" t="s">
        <v>119</v>
      </c>
      <c r="L4" s="9"/>
    </row>
    <row r="5" spans="1:12" ht="11.25" customHeight="1" x14ac:dyDescent="0.25">
      <c r="A5" s="10"/>
      <c r="B5" s="11"/>
      <c r="C5" s="11"/>
      <c r="D5" s="12" t="s">
        <v>118</v>
      </c>
      <c r="E5" s="12"/>
      <c r="F5" s="13" t="s">
        <v>117</v>
      </c>
      <c r="G5" s="12"/>
      <c r="H5" s="12" t="s">
        <v>116</v>
      </c>
      <c r="I5" s="12" t="s">
        <v>115</v>
      </c>
      <c r="J5" s="12" t="s">
        <v>114</v>
      </c>
      <c r="K5" s="12" t="s">
        <v>113</v>
      </c>
      <c r="L5" s="9"/>
    </row>
    <row r="6" spans="1:12" ht="11.25" hidden="1" customHeight="1" x14ac:dyDescent="0.25">
      <c r="A6" s="14" t="s">
        <v>112</v>
      </c>
      <c r="B6" s="15"/>
      <c r="C6" s="16"/>
      <c r="D6" s="17"/>
      <c r="E6" s="17"/>
      <c r="F6" s="18"/>
      <c r="G6" s="17"/>
      <c r="H6" s="17"/>
      <c r="I6" s="17"/>
      <c r="J6" s="17"/>
      <c r="K6" s="19" t="s">
        <v>111</v>
      </c>
      <c r="L6" s="9" t="s">
        <v>89</v>
      </c>
    </row>
    <row r="7" spans="1:12" ht="11.25" hidden="1" customHeight="1" x14ac:dyDescent="0.25">
      <c r="A7" s="20" t="s">
        <v>110</v>
      </c>
      <c r="B7" s="21"/>
      <c r="C7" s="21"/>
      <c r="D7" s="22"/>
      <c r="E7" s="22"/>
      <c r="F7" s="23"/>
      <c r="G7" s="22"/>
      <c r="H7" s="22"/>
      <c r="I7" s="22"/>
      <c r="J7" s="22"/>
      <c r="K7" s="24" t="s">
        <v>109</v>
      </c>
      <c r="L7" s="9" t="s">
        <v>102</v>
      </c>
    </row>
    <row r="8" spans="1:12" ht="11.25" hidden="1" customHeight="1" x14ac:dyDescent="0.25">
      <c r="A8" s="25" t="s">
        <v>108</v>
      </c>
      <c r="B8" s="9"/>
      <c r="C8" s="9"/>
      <c r="D8" s="17"/>
      <c r="E8" s="17"/>
      <c r="F8" s="18"/>
      <c r="G8" s="17"/>
      <c r="H8" s="17"/>
      <c r="I8" s="17"/>
      <c r="J8" s="17"/>
      <c r="K8" s="19" t="s">
        <v>107</v>
      </c>
      <c r="L8" s="9" t="s">
        <v>89</v>
      </c>
    </row>
    <row r="9" spans="1:12" ht="11.25" hidden="1" customHeight="1" x14ac:dyDescent="0.25">
      <c r="A9" s="20" t="s">
        <v>106</v>
      </c>
      <c r="B9" s="21"/>
      <c r="C9" s="21"/>
      <c r="D9" s="22"/>
      <c r="E9" s="22"/>
      <c r="F9" s="23"/>
      <c r="G9" s="22"/>
      <c r="H9" s="22"/>
      <c r="I9" s="22"/>
      <c r="J9" s="22"/>
      <c r="K9" s="24" t="s">
        <v>105</v>
      </c>
      <c r="L9" s="9" t="s">
        <v>102</v>
      </c>
    </row>
    <row r="10" spans="1:12" ht="11.25" hidden="1" customHeight="1" x14ac:dyDescent="0.25">
      <c r="A10" s="26" t="s">
        <v>61</v>
      </c>
      <c r="B10" s="21" t="s">
        <v>104</v>
      </c>
      <c r="C10" s="21"/>
      <c r="D10" s="22"/>
      <c r="E10" s="22"/>
      <c r="F10" s="23"/>
      <c r="G10" s="22"/>
      <c r="H10" s="22"/>
      <c r="I10" s="22"/>
      <c r="J10" s="22"/>
      <c r="K10" s="24" t="s">
        <v>103</v>
      </c>
      <c r="L10" s="9" t="s">
        <v>102</v>
      </c>
    </row>
    <row r="11" spans="1:12" ht="11.25" customHeight="1" x14ac:dyDescent="0.25">
      <c r="A11" s="20"/>
      <c r="B11" s="21"/>
      <c r="C11" s="21"/>
      <c r="D11" s="22"/>
      <c r="E11" s="22"/>
      <c r="F11" s="23"/>
      <c r="G11" s="22"/>
      <c r="H11" s="22"/>
      <c r="I11" s="27"/>
      <c r="J11" s="22"/>
      <c r="K11" s="24" t="s">
        <v>101</v>
      </c>
      <c r="L11" s="9" t="s">
        <v>26</v>
      </c>
    </row>
    <row r="12" spans="1:12" ht="11.25" customHeight="1" x14ac:dyDescent="0.25">
      <c r="A12" s="28" t="s">
        <v>100</v>
      </c>
      <c r="B12" s="29"/>
      <c r="C12" s="29"/>
      <c r="D12" s="22">
        <v>0</v>
      </c>
      <c r="E12" s="22"/>
      <c r="F12" s="23"/>
      <c r="G12" s="22"/>
      <c r="H12" s="22"/>
      <c r="I12" s="27"/>
      <c r="J12" s="22"/>
      <c r="K12" s="24" t="s">
        <v>99</v>
      </c>
      <c r="L12" s="9" t="s">
        <v>89</v>
      </c>
    </row>
    <row r="13" spans="1:12" ht="11.25" customHeight="1" x14ac:dyDescent="0.25">
      <c r="A13" s="26" t="s">
        <v>61</v>
      </c>
      <c r="B13" s="21" t="s">
        <v>98</v>
      </c>
      <c r="C13" s="21"/>
      <c r="D13" s="22"/>
      <c r="E13" s="22"/>
      <c r="F13" s="23"/>
      <c r="G13" s="22"/>
      <c r="H13" s="22"/>
      <c r="I13" s="22"/>
      <c r="J13" s="22"/>
      <c r="K13" s="24" t="s">
        <v>97</v>
      </c>
      <c r="L13" s="9" t="s">
        <v>89</v>
      </c>
    </row>
    <row r="14" spans="1:12" ht="11.25" customHeight="1" x14ac:dyDescent="0.25">
      <c r="A14" s="30" t="s">
        <v>61</v>
      </c>
      <c r="B14" s="31" t="s">
        <v>96</v>
      </c>
      <c r="C14" s="31"/>
      <c r="D14" s="22">
        <v>0</v>
      </c>
      <c r="E14" s="27"/>
      <c r="F14" s="32"/>
      <c r="G14" s="22">
        <f>-D14</f>
        <v>0</v>
      </c>
      <c r="H14" s="27"/>
      <c r="I14" s="27"/>
      <c r="J14" s="27"/>
      <c r="K14" s="24" t="s">
        <v>95</v>
      </c>
      <c r="L14" s="9" t="s">
        <v>89</v>
      </c>
    </row>
    <row r="15" spans="1:12" ht="11.25" customHeight="1" x14ac:dyDescent="0.25">
      <c r="A15" s="33"/>
      <c r="B15" s="31" t="s">
        <v>94</v>
      </c>
      <c r="C15" s="31"/>
      <c r="D15" s="27"/>
      <c r="E15" s="22"/>
      <c r="F15" s="32"/>
      <c r="G15" s="27"/>
      <c r="H15" s="27"/>
      <c r="I15" s="27"/>
      <c r="J15" s="27"/>
      <c r="K15" s="24" t="s">
        <v>26</v>
      </c>
      <c r="L15" s="9" t="s">
        <v>26</v>
      </c>
    </row>
    <row r="16" spans="1:12" ht="11.25" customHeight="1" x14ac:dyDescent="0.25">
      <c r="A16" s="20" t="s">
        <v>10</v>
      </c>
      <c r="B16" s="31"/>
      <c r="C16" s="34"/>
      <c r="D16" s="27"/>
      <c r="E16" s="27"/>
      <c r="F16" s="32"/>
      <c r="G16" s="27"/>
      <c r="H16" s="27"/>
      <c r="I16" s="27"/>
      <c r="J16" s="27"/>
      <c r="K16" s="24" t="s">
        <v>26</v>
      </c>
      <c r="L16" s="9" t="s">
        <v>26</v>
      </c>
    </row>
    <row r="17" spans="1:12" ht="11.25" customHeight="1" x14ac:dyDescent="0.25">
      <c r="A17" s="28" t="s">
        <v>93</v>
      </c>
      <c r="B17" s="31"/>
      <c r="C17" s="31"/>
      <c r="D17" s="22">
        <v>0</v>
      </c>
      <c r="E17" s="27"/>
      <c r="F17" s="32"/>
      <c r="G17" s="27"/>
      <c r="H17" s="27"/>
      <c r="I17" s="27"/>
      <c r="J17" s="27"/>
      <c r="K17" s="24" t="s">
        <v>92</v>
      </c>
      <c r="L17" s="9" t="s">
        <v>89</v>
      </c>
    </row>
    <row r="18" spans="1:12" ht="11.25" customHeight="1" x14ac:dyDescent="0.25">
      <c r="A18" s="35" t="s">
        <v>61</v>
      </c>
      <c r="B18" s="169" t="s">
        <v>91</v>
      </c>
      <c r="C18" s="168"/>
      <c r="D18" s="22"/>
      <c r="E18" s="27"/>
      <c r="F18" s="32"/>
      <c r="G18" s="27"/>
      <c r="H18" s="27"/>
      <c r="I18" s="22"/>
      <c r="J18" s="27"/>
      <c r="K18" s="24" t="s">
        <v>90</v>
      </c>
      <c r="L18" s="9" t="s">
        <v>89</v>
      </c>
    </row>
    <row r="19" spans="1:12" ht="11.25" customHeight="1" x14ac:dyDescent="0.25">
      <c r="A19" s="35"/>
      <c r="B19" s="36"/>
      <c r="C19" s="31"/>
      <c r="D19" s="27"/>
      <c r="E19" s="27"/>
      <c r="F19" s="32"/>
      <c r="G19" s="27"/>
      <c r="H19" s="27"/>
      <c r="I19" s="27"/>
      <c r="J19" s="27"/>
      <c r="K19" s="24" t="s">
        <v>26</v>
      </c>
      <c r="L19" s="9" t="s">
        <v>26</v>
      </c>
    </row>
    <row r="20" spans="1:12" ht="11.25" customHeight="1" x14ac:dyDescent="0.25">
      <c r="A20" s="37" t="s">
        <v>88</v>
      </c>
      <c r="B20" s="36"/>
      <c r="C20" s="31"/>
      <c r="D20" s="27"/>
      <c r="E20" s="27"/>
      <c r="F20" s="32"/>
      <c r="G20" s="22">
        <v>0</v>
      </c>
      <c r="H20" s="27"/>
      <c r="I20" s="38">
        <f>-G20</f>
        <v>0</v>
      </c>
      <c r="J20" s="27"/>
      <c r="K20" s="39" t="s">
        <v>87</v>
      </c>
      <c r="L20" s="9" t="s">
        <v>33</v>
      </c>
    </row>
    <row r="21" spans="1:12" ht="11.25" customHeight="1" x14ac:dyDescent="0.25">
      <c r="A21" s="35"/>
      <c r="B21" s="36"/>
      <c r="C21" s="31"/>
      <c r="D21" s="27"/>
      <c r="E21" s="27"/>
      <c r="F21" s="32"/>
      <c r="G21" s="27"/>
      <c r="H21" s="27"/>
      <c r="I21" s="27"/>
      <c r="J21" s="27"/>
      <c r="K21" s="24" t="s">
        <v>26</v>
      </c>
      <c r="L21" s="9" t="s">
        <v>26</v>
      </c>
    </row>
    <row r="22" spans="1:12" ht="11.25" customHeight="1" x14ac:dyDescent="0.25">
      <c r="A22" s="28" t="s">
        <v>86</v>
      </c>
      <c r="B22" s="31"/>
      <c r="C22" s="31"/>
      <c r="D22" s="27"/>
      <c r="E22" s="27"/>
      <c r="F22" s="32"/>
      <c r="G22" s="22"/>
      <c r="H22" s="27"/>
      <c r="I22" s="27"/>
      <c r="J22" s="27"/>
      <c r="K22" s="24" t="s">
        <v>85</v>
      </c>
      <c r="L22" s="9" t="s">
        <v>33</v>
      </c>
    </row>
    <row r="23" spans="1:12" ht="11.25" customHeight="1" x14ac:dyDescent="0.25">
      <c r="A23" s="35" t="s">
        <v>61</v>
      </c>
      <c r="B23" s="167" t="s">
        <v>84</v>
      </c>
      <c r="C23" s="168"/>
      <c r="D23" s="27"/>
      <c r="E23" s="27"/>
      <c r="F23" s="32"/>
      <c r="G23" s="22"/>
      <c r="H23" s="27"/>
      <c r="I23" s="22"/>
      <c r="J23" s="27"/>
      <c r="K23" s="24" t="s">
        <v>83</v>
      </c>
      <c r="L23" s="9" t="s">
        <v>33</v>
      </c>
    </row>
    <row r="24" spans="1:12" ht="11.25" customHeight="1" x14ac:dyDescent="0.25">
      <c r="A24" s="33"/>
      <c r="B24" s="31" t="s">
        <v>10</v>
      </c>
      <c r="C24" s="31"/>
      <c r="D24" s="27"/>
      <c r="E24" s="27"/>
      <c r="F24" s="32"/>
      <c r="G24" s="27"/>
      <c r="H24" s="27"/>
      <c r="I24" s="27"/>
      <c r="J24" s="27"/>
      <c r="K24" s="24" t="s">
        <v>26</v>
      </c>
      <c r="L24" s="9" t="s">
        <v>26</v>
      </c>
    </row>
    <row r="25" spans="1:12" ht="11.25" customHeight="1" x14ac:dyDescent="0.25">
      <c r="A25" s="40" t="s">
        <v>82</v>
      </c>
      <c r="B25" s="41"/>
      <c r="C25" s="42"/>
      <c r="D25" s="17"/>
      <c r="E25" s="17"/>
      <c r="F25" s="18"/>
      <c r="G25" s="17"/>
      <c r="H25" s="17"/>
      <c r="I25" s="17"/>
      <c r="J25" s="17"/>
      <c r="K25" s="19" t="s">
        <v>81</v>
      </c>
      <c r="L25" s="9" t="s">
        <v>33</v>
      </c>
    </row>
    <row r="26" spans="1:12" ht="11.25" customHeight="1" x14ac:dyDescent="0.25">
      <c r="A26" s="35" t="s">
        <v>61</v>
      </c>
      <c r="B26" s="167" t="s">
        <v>80</v>
      </c>
      <c r="C26" s="168"/>
      <c r="D26" s="27"/>
      <c r="E26" s="27"/>
      <c r="F26" s="32"/>
      <c r="G26" s="22"/>
      <c r="H26" s="27"/>
      <c r="I26" s="22"/>
      <c r="J26" s="27"/>
      <c r="K26" s="24" t="s">
        <v>79</v>
      </c>
      <c r="L26" s="9" t="s">
        <v>33</v>
      </c>
    </row>
    <row r="27" spans="1:12" ht="11.25" customHeight="1" x14ac:dyDescent="0.25">
      <c r="A27" s="33"/>
      <c r="B27" s="31"/>
      <c r="C27" s="31"/>
      <c r="D27" s="27"/>
      <c r="E27" s="27"/>
      <c r="F27" s="32"/>
      <c r="G27" s="27"/>
      <c r="H27" s="27"/>
      <c r="I27" s="27"/>
      <c r="J27" s="27"/>
      <c r="K27" s="24" t="s">
        <v>78</v>
      </c>
      <c r="L27" s="9" t="s">
        <v>77</v>
      </c>
    </row>
    <row r="28" spans="1:12" ht="11.25" customHeight="1" x14ac:dyDescent="0.25">
      <c r="A28" s="40" t="s">
        <v>76</v>
      </c>
      <c r="B28" s="41"/>
      <c r="C28" s="42"/>
      <c r="D28" s="17"/>
      <c r="E28" s="17"/>
      <c r="F28" s="18"/>
      <c r="G28" s="17">
        <v>0</v>
      </c>
      <c r="H28" s="17"/>
      <c r="I28" s="17"/>
      <c r="J28" s="17"/>
      <c r="K28" s="19" t="s">
        <v>75</v>
      </c>
      <c r="L28" s="9" t="s">
        <v>33</v>
      </c>
    </row>
    <row r="29" spans="1:12" ht="11.25" customHeight="1" x14ac:dyDescent="0.25">
      <c r="A29" s="35" t="s">
        <v>61</v>
      </c>
      <c r="B29" s="167" t="s">
        <v>74</v>
      </c>
      <c r="C29" s="168"/>
      <c r="D29" s="27"/>
      <c r="E29" s="27"/>
      <c r="F29" s="32"/>
      <c r="G29" s="22">
        <v>0</v>
      </c>
      <c r="H29" s="27"/>
      <c r="I29" s="22">
        <f>-G29</f>
        <v>0</v>
      </c>
      <c r="J29" s="27"/>
      <c r="K29" s="24" t="s">
        <v>73</v>
      </c>
      <c r="L29" s="9" t="s">
        <v>33</v>
      </c>
    </row>
    <row r="30" spans="1:12" ht="11.25" customHeight="1" x14ac:dyDescent="0.25">
      <c r="A30" s="43" t="s">
        <v>61</v>
      </c>
      <c r="B30" s="167" t="s">
        <v>72</v>
      </c>
      <c r="C30" s="168"/>
      <c r="D30" s="27"/>
      <c r="E30" s="27"/>
      <c r="F30" s="32"/>
      <c r="G30" s="22">
        <v>0</v>
      </c>
      <c r="H30" s="27"/>
      <c r="I30" s="22">
        <f>-G30</f>
        <v>0</v>
      </c>
      <c r="J30" s="27"/>
      <c r="K30" s="24" t="s">
        <v>71</v>
      </c>
      <c r="L30" s="9" t="s">
        <v>33</v>
      </c>
    </row>
    <row r="31" spans="1:12" ht="11.25" customHeight="1" x14ac:dyDescent="0.25">
      <c r="A31" s="43" t="s">
        <v>61</v>
      </c>
      <c r="B31" s="167" t="s">
        <v>70</v>
      </c>
      <c r="C31" s="168"/>
      <c r="D31" s="27"/>
      <c r="E31" s="27"/>
      <c r="F31" s="32"/>
      <c r="G31" s="22"/>
      <c r="H31" s="27"/>
      <c r="I31" s="22">
        <f>-G31</f>
        <v>0</v>
      </c>
      <c r="J31" s="27"/>
      <c r="K31" s="24" t="s">
        <v>69</v>
      </c>
      <c r="L31" s="9" t="s">
        <v>33</v>
      </c>
    </row>
    <row r="32" spans="1:12" ht="11.25" customHeight="1" x14ac:dyDescent="0.25">
      <c r="A32" s="35"/>
      <c r="B32" s="167" t="s">
        <v>68</v>
      </c>
      <c r="C32" s="168"/>
      <c r="D32" s="27"/>
      <c r="E32" s="27"/>
      <c r="F32" s="32"/>
      <c r="G32" s="22">
        <v>0</v>
      </c>
      <c r="H32" s="27"/>
      <c r="I32" s="22">
        <f>-G32</f>
        <v>0</v>
      </c>
      <c r="J32" s="27"/>
      <c r="K32" s="24" t="s">
        <v>67</v>
      </c>
      <c r="L32" s="9" t="s">
        <v>33</v>
      </c>
    </row>
    <row r="33" spans="1:12" ht="11.25" customHeight="1" x14ac:dyDescent="0.25">
      <c r="A33" s="33"/>
      <c r="B33" s="31" t="s">
        <v>10</v>
      </c>
      <c r="C33" s="31"/>
      <c r="D33" s="27"/>
      <c r="E33" s="27"/>
      <c r="F33" s="32"/>
      <c r="G33" s="27"/>
      <c r="H33" s="27"/>
      <c r="I33" s="27" t="s">
        <v>10</v>
      </c>
      <c r="J33" s="27"/>
      <c r="K33" s="24" t="s">
        <v>66</v>
      </c>
      <c r="L33" s="9" t="s">
        <v>65</v>
      </c>
    </row>
    <row r="34" spans="1:12" ht="11.25" customHeight="1" x14ac:dyDescent="0.25">
      <c r="A34" s="28" t="s">
        <v>64</v>
      </c>
      <c r="B34" s="31"/>
      <c r="C34" s="34"/>
      <c r="D34" s="27"/>
      <c r="E34" s="27"/>
      <c r="F34" s="32"/>
      <c r="G34" s="22">
        <v>0</v>
      </c>
      <c r="H34" s="27"/>
      <c r="I34" s="22">
        <f>-G34</f>
        <v>0</v>
      </c>
      <c r="J34" s="27"/>
      <c r="K34" s="24" t="s">
        <v>63</v>
      </c>
      <c r="L34" s="9" t="s">
        <v>33</v>
      </c>
    </row>
    <row r="35" spans="1:12" ht="11.25" customHeight="1" x14ac:dyDescent="0.25">
      <c r="A35" s="33"/>
      <c r="B35" s="31" t="s">
        <v>10</v>
      </c>
      <c r="C35" s="31"/>
      <c r="D35" s="27"/>
      <c r="E35" s="27"/>
      <c r="F35" s="32"/>
      <c r="G35" s="27"/>
      <c r="H35" s="27"/>
      <c r="I35" s="27"/>
      <c r="J35" s="27"/>
      <c r="K35" s="24" t="s">
        <v>26</v>
      </c>
      <c r="L35" s="9" t="s">
        <v>26</v>
      </c>
    </row>
    <row r="36" spans="1:12" ht="11.25" customHeight="1" x14ac:dyDescent="0.25">
      <c r="A36" s="40" t="s">
        <v>60</v>
      </c>
      <c r="B36" s="41"/>
      <c r="C36" s="42"/>
      <c r="D36" s="27"/>
      <c r="E36" s="27"/>
      <c r="F36" s="32"/>
      <c r="G36" s="22">
        <v>0</v>
      </c>
      <c r="H36" s="27"/>
      <c r="I36" s="27" t="s">
        <v>10</v>
      </c>
      <c r="J36" s="27"/>
      <c r="K36" s="19" t="s">
        <v>62</v>
      </c>
      <c r="L36" s="9" t="s">
        <v>33</v>
      </c>
    </row>
    <row r="37" spans="1:12" ht="11.25" customHeight="1" x14ac:dyDescent="0.25">
      <c r="A37" s="35" t="s">
        <v>61</v>
      </c>
      <c r="B37" s="167" t="s">
        <v>60</v>
      </c>
      <c r="C37" s="168"/>
      <c r="D37" s="44"/>
      <c r="E37" s="44"/>
      <c r="F37" s="45"/>
      <c r="G37" s="46">
        <f>-G36</f>
        <v>0</v>
      </c>
      <c r="H37" s="44"/>
      <c r="I37" s="47">
        <f>-G37</f>
        <v>0</v>
      </c>
      <c r="J37" s="44"/>
      <c r="K37" s="24" t="s">
        <v>12</v>
      </c>
      <c r="L37" s="9" t="s">
        <v>33</v>
      </c>
    </row>
    <row r="38" spans="1:12" ht="11.25" customHeight="1" x14ac:dyDescent="0.25">
      <c r="A38" s="20"/>
      <c r="B38" s="31"/>
      <c r="C38" s="48" t="s">
        <v>59</v>
      </c>
      <c r="D38" s="49">
        <f>SUM(D6:D37)</f>
        <v>0</v>
      </c>
      <c r="E38" s="49">
        <f>SUM(E6:E37)</f>
        <v>0</v>
      </c>
      <c r="F38" s="49">
        <f>SUM(D38:E38)</f>
        <v>0</v>
      </c>
      <c r="G38" s="50">
        <f>SUM(G6:G37)</f>
        <v>0</v>
      </c>
      <c r="H38" s="49">
        <f>SUM(F38:G38)</f>
        <v>0</v>
      </c>
      <c r="I38" s="49">
        <f>SUM(I6:I37)</f>
        <v>0</v>
      </c>
      <c r="J38" s="49">
        <f>SUM(H38:I38)</f>
        <v>0</v>
      </c>
      <c r="K38" s="19" t="s">
        <v>12</v>
      </c>
      <c r="L38" s="9" t="s">
        <v>12</v>
      </c>
    </row>
    <row r="39" spans="1:12" ht="11.25" customHeight="1" x14ac:dyDescent="0.25">
      <c r="A39" s="20" t="s">
        <v>58</v>
      </c>
      <c r="B39" s="31"/>
      <c r="C39" s="31"/>
      <c r="D39" s="51"/>
      <c r="E39" s="51"/>
      <c r="F39" s="52"/>
      <c r="G39" s="51"/>
      <c r="H39" s="51"/>
      <c r="I39" s="51"/>
      <c r="J39" s="51"/>
      <c r="K39" s="24" t="s">
        <v>26</v>
      </c>
      <c r="L39" s="9" t="s">
        <v>26</v>
      </c>
    </row>
    <row r="40" spans="1:12" ht="11.25" customHeight="1" x14ac:dyDescent="0.25">
      <c r="A40" s="20" t="s">
        <v>57</v>
      </c>
      <c r="B40" s="31"/>
      <c r="C40" s="31"/>
      <c r="D40" s="27"/>
      <c r="E40" s="27"/>
      <c r="F40" s="32"/>
      <c r="G40" s="22">
        <v>0</v>
      </c>
      <c r="H40" s="22">
        <f>G40</f>
        <v>0</v>
      </c>
      <c r="I40" s="27"/>
      <c r="J40" s="22">
        <f>H40</f>
        <v>0</v>
      </c>
      <c r="K40" s="53" t="s">
        <v>56</v>
      </c>
      <c r="L40" s="9" t="s">
        <v>49</v>
      </c>
    </row>
    <row r="41" spans="1:12" ht="11.25" customHeight="1" x14ac:dyDescent="0.25">
      <c r="A41" s="20" t="s">
        <v>55</v>
      </c>
      <c r="B41" s="31"/>
      <c r="C41" s="31"/>
      <c r="D41" s="27"/>
      <c r="E41" s="27"/>
      <c r="F41" s="32"/>
      <c r="G41" s="22">
        <v>0</v>
      </c>
      <c r="H41" s="22">
        <f>G41</f>
        <v>0</v>
      </c>
      <c r="I41" s="27"/>
      <c r="J41" s="22">
        <f>H41</f>
        <v>0</v>
      </c>
      <c r="K41" s="53" t="s">
        <v>54</v>
      </c>
      <c r="L41" s="9" t="s">
        <v>49</v>
      </c>
    </row>
    <row r="42" spans="1:12" ht="11.25" customHeight="1" x14ac:dyDescent="0.25">
      <c r="A42" s="20" t="s">
        <v>53</v>
      </c>
      <c r="B42" s="31"/>
      <c r="C42" s="31"/>
      <c r="D42" s="27"/>
      <c r="E42" s="27"/>
      <c r="F42" s="32"/>
      <c r="G42" s="22">
        <v>0</v>
      </c>
      <c r="H42" s="22">
        <f>G42</f>
        <v>0</v>
      </c>
      <c r="I42" s="27"/>
      <c r="J42" s="22">
        <f>H42</f>
        <v>0</v>
      </c>
      <c r="K42" s="53" t="s">
        <v>52</v>
      </c>
      <c r="L42" s="9" t="s">
        <v>49</v>
      </c>
    </row>
    <row r="43" spans="1:12" ht="11.25" customHeight="1" x14ac:dyDescent="0.25">
      <c r="A43" s="20" t="s">
        <v>51</v>
      </c>
      <c r="B43" s="31"/>
      <c r="C43" s="31"/>
      <c r="D43" s="27"/>
      <c r="E43" s="27"/>
      <c r="F43" s="32"/>
      <c r="G43" s="22">
        <v>0</v>
      </c>
      <c r="H43" s="22">
        <f>G43</f>
        <v>0</v>
      </c>
      <c r="I43" s="27"/>
      <c r="J43" s="22">
        <f>H43</f>
        <v>0</v>
      </c>
      <c r="K43" s="53" t="s">
        <v>50</v>
      </c>
      <c r="L43" s="9" t="s">
        <v>49</v>
      </c>
    </row>
    <row r="44" spans="1:12" ht="11.25" customHeight="1" x14ac:dyDescent="0.25">
      <c r="A44" s="20" t="s">
        <v>48</v>
      </c>
      <c r="B44" s="31"/>
      <c r="C44" s="31"/>
      <c r="D44" s="27"/>
      <c r="E44" s="27"/>
      <c r="F44" s="32"/>
      <c r="G44" s="22"/>
      <c r="H44" s="27"/>
      <c r="I44" s="22">
        <v>0</v>
      </c>
      <c r="J44" s="22">
        <f>I44</f>
        <v>0</v>
      </c>
      <c r="K44" s="53" t="s">
        <v>47</v>
      </c>
      <c r="L44" s="9" t="s">
        <v>35</v>
      </c>
    </row>
    <row r="45" spans="1:12" ht="11.25" customHeight="1" x14ac:dyDescent="0.25">
      <c r="A45" s="20" t="s">
        <v>46</v>
      </c>
      <c r="B45" s="31"/>
      <c r="C45" s="31"/>
      <c r="D45" s="44"/>
      <c r="E45" s="44"/>
      <c r="F45" s="45"/>
      <c r="G45" s="47"/>
      <c r="H45" s="44"/>
      <c r="I45" s="47">
        <v>0</v>
      </c>
      <c r="J45" s="47">
        <f>I45</f>
        <v>0</v>
      </c>
      <c r="K45" s="53" t="s">
        <v>45</v>
      </c>
      <c r="L45" s="9" t="s">
        <v>35</v>
      </c>
    </row>
    <row r="46" spans="1:12" ht="11.25" customHeight="1" x14ac:dyDescent="0.25">
      <c r="A46" s="54"/>
      <c r="B46" s="172" t="s">
        <v>44</v>
      </c>
      <c r="C46" s="168"/>
      <c r="D46" s="49">
        <f>SUM(D38:D45)</f>
        <v>0</v>
      </c>
      <c r="E46" s="49">
        <f t="shared" ref="E46:J46" si="0">SUM(E38:E45)</f>
        <v>0</v>
      </c>
      <c r="F46" s="49">
        <f>SUM(F38:F45)</f>
        <v>0</v>
      </c>
      <c r="G46" s="49">
        <f t="shared" si="0"/>
        <v>0</v>
      </c>
      <c r="H46" s="49">
        <f t="shared" si="0"/>
        <v>0</v>
      </c>
      <c r="I46" s="49">
        <f t="shared" si="0"/>
        <v>0</v>
      </c>
      <c r="J46" s="49">
        <f t="shared" si="0"/>
        <v>0</v>
      </c>
      <c r="K46" s="53" t="s">
        <v>12</v>
      </c>
      <c r="L46" s="9" t="s">
        <v>12</v>
      </c>
    </row>
    <row r="47" spans="1:12" ht="11.25" customHeight="1" x14ac:dyDescent="0.25">
      <c r="A47" s="20" t="s">
        <v>43</v>
      </c>
      <c r="B47" s="31"/>
      <c r="C47" s="31"/>
      <c r="D47" s="51"/>
      <c r="E47" s="51"/>
      <c r="F47" s="52"/>
      <c r="G47" s="51"/>
      <c r="H47" s="51"/>
      <c r="I47" s="55">
        <v>0</v>
      </c>
      <c r="J47" s="55">
        <f>I47</f>
        <v>0</v>
      </c>
      <c r="K47" s="24" t="s">
        <v>42</v>
      </c>
      <c r="L47" s="9" t="s">
        <v>35</v>
      </c>
    </row>
    <row r="48" spans="1:12" ht="11.25" customHeight="1" x14ac:dyDescent="0.25">
      <c r="A48" s="20" t="s">
        <v>41</v>
      </c>
      <c r="C48" s="31"/>
      <c r="D48" s="51"/>
      <c r="E48" s="51"/>
      <c r="F48" s="52"/>
      <c r="G48" s="51"/>
      <c r="H48" s="51"/>
      <c r="I48" s="55">
        <v>0</v>
      </c>
      <c r="J48" s="55">
        <f>I48</f>
        <v>0</v>
      </c>
      <c r="K48" s="24" t="s">
        <v>40</v>
      </c>
      <c r="L48" s="9" t="s">
        <v>35</v>
      </c>
    </row>
    <row r="49" spans="1:14" ht="11.25" customHeight="1" x14ac:dyDescent="0.25">
      <c r="A49" s="54" t="s">
        <v>39</v>
      </c>
      <c r="B49" s="56"/>
      <c r="C49" s="56"/>
      <c r="D49" s="51"/>
      <c r="E49" s="51"/>
      <c r="F49" s="52"/>
      <c r="G49" s="55"/>
      <c r="H49" s="51"/>
      <c r="I49" s="55">
        <v>0</v>
      </c>
      <c r="J49" s="55">
        <f>I49</f>
        <v>0</v>
      </c>
      <c r="K49" s="53" t="s">
        <v>38</v>
      </c>
      <c r="L49" s="9" t="s">
        <v>35</v>
      </c>
      <c r="M49" s="9"/>
      <c r="N49" s="9" t="s">
        <v>10</v>
      </c>
    </row>
    <row r="50" spans="1:14" ht="11.25" customHeight="1" x14ac:dyDescent="0.25">
      <c r="A50" s="54" t="s">
        <v>37</v>
      </c>
      <c r="B50" s="23"/>
      <c r="C50" s="57"/>
      <c r="D50" s="22"/>
      <c r="E50" s="22"/>
      <c r="F50" s="22"/>
      <c r="G50" s="22"/>
      <c r="H50" s="27"/>
      <c r="I50" s="22">
        <v>0</v>
      </c>
      <c r="J50" s="55">
        <f>I50</f>
        <v>0</v>
      </c>
      <c r="K50" s="53" t="s">
        <v>36</v>
      </c>
      <c r="L50" s="9" t="s">
        <v>35</v>
      </c>
      <c r="M50" s="9"/>
      <c r="N50" s="9"/>
    </row>
    <row r="51" spans="1:14" ht="11.25" customHeight="1" thickBot="1" x14ac:dyDescent="0.3">
      <c r="A51" s="58"/>
      <c r="B51" s="170" t="s">
        <v>34</v>
      </c>
      <c r="C51" s="171"/>
      <c r="D51" s="59">
        <f>SUM(D46:D50)</f>
        <v>0</v>
      </c>
      <c r="E51" s="59">
        <f>SUM(E46:E50)</f>
        <v>0</v>
      </c>
      <c r="F51" s="59">
        <f>SUM(F46:F50)</f>
        <v>0</v>
      </c>
      <c r="G51" s="59">
        <f>SUM(G46:G50)</f>
        <v>0</v>
      </c>
      <c r="H51" s="60">
        <f>SUM(F51:G51)</f>
        <v>0</v>
      </c>
      <c r="I51" s="61">
        <f>SUM(I46:I50)</f>
        <v>0</v>
      </c>
      <c r="J51" s="59">
        <f>SUM(H51:I51)</f>
        <v>0</v>
      </c>
      <c r="K51" s="62" t="s">
        <v>12</v>
      </c>
      <c r="L51" s="9" t="s">
        <v>12</v>
      </c>
      <c r="M51" s="9"/>
      <c r="N51" s="63"/>
    </row>
    <row r="52" spans="1:14" ht="11.25" customHeight="1" thickTop="1" x14ac:dyDescent="0.25">
      <c r="A52" s="64"/>
      <c r="B52" s="65"/>
      <c r="C52" s="65"/>
      <c r="D52" s="66"/>
      <c r="E52" s="66"/>
      <c r="F52" s="66"/>
      <c r="G52" s="67" t="str">
        <f>IF(H52&lt;0,"Reajustes por Inflación - Ganancia","Reajustes por Inflación - Pérdida")</f>
        <v>Reajustes por Inflación - Pérdida</v>
      </c>
      <c r="H52" s="68"/>
      <c r="I52" s="66"/>
      <c r="J52" s="69"/>
      <c r="K52" s="70" t="s">
        <v>12</v>
      </c>
      <c r="L52" s="9" t="s">
        <v>33</v>
      </c>
      <c r="M52" s="9"/>
      <c r="N52" s="9"/>
    </row>
    <row r="53" spans="1:14" ht="11.25" customHeight="1" x14ac:dyDescent="0.25">
      <c r="A53" s="64"/>
      <c r="B53" s="65"/>
      <c r="C53" s="65"/>
      <c r="D53" s="66"/>
      <c r="E53" s="66"/>
      <c r="F53" s="66"/>
      <c r="G53" s="67" t="s">
        <v>31</v>
      </c>
      <c r="H53" s="71">
        <f>SUM(H51:H52)</f>
        <v>0</v>
      </c>
      <c r="I53" s="66"/>
      <c r="J53" s="69"/>
      <c r="K53" s="70" t="s">
        <v>12</v>
      </c>
      <c r="L53" s="9" t="s">
        <v>29</v>
      </c>
      <c r="M53" s="9"/>
      <c r="N53" s="9"/>
    </row>
    <row r="54" spans="1:14" ht="11.25" customHeight="1" x14ac:dyDescent="0.25">
      <c r="A54" s="64"/>
      <c r="B54" s="65"/>
      <c r="C54" s="65"/>
      <c r="D54" s="66"/>
      <c r="E54" s="66"/>
      <c r="F54" s="66"/>
      <c r="G54" s="67" t="s">
        <v>32</v>
      </c>
      <c r="H54" s="68"/>
      <c r="I54" s="66"/>
      <c r="J54" s="69"/>
      <c r="K54" s="70" t="s">
        <v>26</v>
      </c>
      <c r="L54" s="9" t="s">
        <v>26</v>
      </c>
      <c r="M54" s="9"/>
      <c r="N54" s="9"/>
    </row>
    <row r="55" spans="1:14" ht="11.25" customHeight="1" x14ac:dyDescent="0.25">
      <c r="A55" s="64"/>
      <c r="B55" s="65"/>
      <c r="C55" s="65"/>
      <c r="D55" s="66"/>
      <c r="E55" s="66"/>
      <c r="F55" s="66"/>
      <c r="G55" s="67" t="s">
        <v>31</v>
      </c>
      <c r="H55" s="71">
        <f>SUM(H53:H54)</f>
        <v>0</v>
      </c>
      <c r="I55" s="66"/>
      <c r="J55" s="69"/>
      <c r="K55" s="70" t="s">
        <v>12</v>
      </c>
      <c r="L55" s="9" t="s">
        <v>29</v>
      </c>
      <c r="M55" s="9"/>
      <c r="N55" s="9"/>
    </row>
    <row r="56" spans="1:14" ht="11.25" customHeight="1" x14ac:dyDescent="0.25">
      <c r="A56" s="64"/>
      <c r="B56" s="65"/>
      <c r="C56" s="65"/>
      <c r="D56" s="66"/>
      <c r="E56" s="66"/>
      <c r="F56" s="66"/>
      <c r="G56" s="67" t="s">
        <v>30</v>
      </c>
      <c r="H56" s="71"/>
      <c r="I56" s="66"/>
      <c r="J56" s="69"/>
      <c r="K56" s="70" t="s">
        <v>26</v>
      </c>
      <c r="L56" s="9" t="s">
        <v>26</v>
      </c>
      <c r="M56" s="9"/>
      <c r="N56" s="9"/>
    </row>
    <row r="57" spans="1:14" ht="11.25" customHeight="1" x14ac:dyDescent="0.25">
      <c r="A57" s="64"/>
      <c r="B57" s="65"/>
      <c r="C57" s="65"/>
      <c r="D57" s="66"/>
      <c r="E57" s="66"/>
      <c r="F57" s="66"/>
      <c r="G57" s="67" t="s">
        <v>30</v>
      </c>
      <c r="H57" s="71"/>
      <c r="I57" s="66"/>
      <c r="J57" s="69"/>
      <c r="K57" s="70" t="s">
        <v>26</v>
      </c>
      <c r="L57" s="9" t="s">
        <v>26</v>
      </c>
      <c r="M57" s="9"/>
      <c r="N57" s="9"/>
    </row>
    <row r="58" spans="1:14" ht="11.25" customHeight="1" x14ac:dyDescent="0.25">
      <c r="A58" s="64"/>
      <c r="B58" s="65"/>
      <c r="C58" s="65"/>
      <c r="D58" s="66"/>
      <c r="E58" s="66"/>
      <c r="F58" s="66"/>
      <c r="G58" s="67" t="s">
        <v>30</v>
      </c>
      <c r="H58" s="71"/>
      <c r="I58" s="66"/>
      <c r="J58" s="69"/>
      <c r="K58" s="70" t="s">
        <v>26</v>
      </c>
      <c r="L58" s="9" t="s">
        <v>26</v>
      </c>
      <c r="M58" s="9"/>
      <c r="N58" s="9"/>
    </row>
    <row r="59" spans="1:14" ht="11.25" customHeight="1" thickBot="1" x14ac:dyDescent="0.3">
      <c r="A59" s="64"/>
      <c r="B59" s="65"/>
      <c r="C59" s="65"/>
      <c r="D59" s="66"/>
      <c r="E59" s="66"/>
      <c r="F59" s="66"/>
      <c r="G59" s="67" t="str">
        <f>IF(H59&lt;0,"Renta Gravable","Pérdida Fiscal")</f>
        <v>Pérdida Fiscal</v>
      </c>
      <c r="H59" s="59">
        <f>SUM(H55:H58)</f>
        <v>0</v>
      </c>
      <c r="I59" s="66"/>
      <c r="J59" s="69"/>
      <c r="K59" s="70" t="s">
        <v>12</v>
      </c>
      <c r="L59" s="9" t="s">
        <v>29</v>
      </c>
      <c r="M59" s="9"/>
      <c r="N59" s="9"/>
    </row>
    <row r="60" spans="1:14" ht="11.25" customHeight="1" thickTop="1" x14ac:dyDescent="0.25">
      <c r="A60" s="72" t="s">
        <v>28</v>
      </c>
      <c r="B60" s="73"/>
      <c r="C60" s="74" t="s">
        <v>27</v>
      </c>
      <c r="D60" s="75"/>
      <c r="E60" s="75"/>
      <c r="F60" s="75"/>
      <c r="G60" s="75"/>
      <c r="H60" s="75"/>
      <c r="I60" s="75"/>
      <c r="J60" s="76"/>
      <c r="K60" s="19" t="s">
        <v>26</v>
      </c>
      <c r="L60" s="9" t="s">
        <v>26</v>
      </c>
      <c r="M60" s="9"/>
      <c r="N60" s="9"/>
    </row>
    <row r="61" spans="1:14" ht="11.25" customHeight="1" x14ac:dyDescent="0.25">
      <c r="A61" s="25" t="s">
        <v>25</v>
      </c>
      <c r="B61" s="77"/>
      <c r="C61" s="78">
        <v>0</v>
      </c>
      <c r="D61" s="75"/>
      <c r="E61" s="75"/>
      <c r="F61" s="75"/>
      <c r="G61" s="75"/>
      <c r="H61" s="75"/>
      <c r="I61" s="75"/>
      <c r="J61" s="76"/>
      <c r="K61" s="19" t="s">
        <v>24</v>
      </c>
      <c r="L61" s="9" t="s">
        <v>11</v>
      </c>
      <c r="M61" s="9"/>
      <c r="N61" s="9"/>
    </row>
    <row r="62" spans="1:14" ht="11.25" customHeight="1" x14ac:dyDescent="0.25">
      <c r="A62" s="25" t="s">
        <v>23</v>
      </c>
      <c r="B62" s="77"/>
      <c r="C62" s="75">
        <v>0</v>
      </c>
      <c r="D62" s="75"/>
      <c r="E62" s="75"/>
      <c r="F62" s="75"/>
      <c r="G62" s="75"/>
      <c r="H62" s="75"/>
      <c r="I62" s="75"/>
      <c r="J62" s="76"/>
      <c r="K62" s="19" t="s">
        <v>22</v>
      </c>
      <c r="L62" s="9" t="s">
        <v>11</v>
      </c>
      <c r="M62" s="9"/>
      <c r="N62" s="9"/>
    </row>
    <row r="63" spans="1:14" ht="11.25" customHeight="1" x14ac:dyDescent="0.25">
      <c r="A63" s="25" t="s">
        <v>21</v>
      </c>
      <c r="B63" s="77"/>
      <c r="C63" s="75">
        <v>0</v>
      </c>
      <c r="D63" s="75"/>
      <c r="E63" s="75"/>
      <c r="F63" s="75"/>
      <c r="G63" s="75"/>
      <c r="H63" s="75"/>
      <c r="I63" s="75"/>
      <c r="J63" s="76"/>
      <c r="K63" s="19" t="s">
        <v>20</v>
      </c>
      <c r="L63" s="9" t="s">
        <v>11</v>
      </c>
      <c r="M63" s="9"/>
      <c r="N63" s="9"/>
    </row>
    <row r="64" spans="1:14" ht="11.25" customHeight="1" x14ac:dyDescent="0.25">
      <c r="A64" s="25" t="s">
        <v>19</v>
      </c>
      <c r="B64" s="77"/>
      <c r="C64" s="75">
        <v>0</v>
      </c>
      <c r="D64" s="75"/>
      <c r="E64" s="75"/>
      <c r="F64" s="75"/>
      <c r="G64" s="75"/>
      <c r="H64" s="75"/>
      <c r="I64" s="75"/>
      <c r="J64" s="76"/>
      <c r="K64" s="19" t="s">
        <v>18</v>
      </c>
      <c r="L64" s="9" t="s">
        <v>11</v>
      </c>
      <c r="M64" s="9"/>
      <c r="N64" s="9"/>
    </row>
    <row r="65" spans="1:12" ht="11.25" customHeight="1" x14ac:dyDescent="0.25">
      <c r="A65" s="25" t="s">
        <v>17</v>
      </c>
      <c r="B65" s="77"/>
      <c r="C65" s="75">
        <v>0</v>
      </c>
      <c r="D65" s="75"/>
      <c r="E65" s="75"/>
      <c r="F65" s="75"/>
      <c r="G65" s="75"/>
      <c r="H65" s="75"/>
      <c r="I65" s="75"/>
      <c r="J65" s="76"/>
      <c r="K65" s="19" t="s">
        <v>16</v>
      </c>
      <c r="L65" s="9" t="s">
        <v>11</v>
      </c>
    </row>
    <row r="66" spans="1:12" ht="11.25" customHeight="1" x14ac:dyDescent="0.25">
      <c r="A66" s="25" t="s">
        <v>15</v>
      </c>
      <c r="B66" s="77"/>
      <c r="C66" s="75">
        <v>0</v>
      </c>
      <c r="D66" s="75"/>
      <c r="E66" s="75"/>
      <c r="F66" s="75"/>
      <c r="G66" s="75"/>
      <c r="H66" s="75"/>
      <c r="I66" s="75"/>
      <c r="J66" s="76"/>
      <c r="K66" s="19" t="s">
        <v>14</v>
      </c>
      <c r="L66" s="9" t="s">
        <v>11</v>
      </c>
    </row>
    <row r="67" spans="1:12" ht="11.25" customHeight="1" thickBot="1" x14ac:dyDescent="0.3">
      <c r="A67" s="25"/>
      <c r="B67" s="79" t="s">
        <v>13</v>
      </c>
      <c r="C67" s="80">
        <f>SUM(C61:C66)</f>
        <v>0</v>
      </c>
      <c r="D67" s="75"/>
      <c r="E67" s="75"/>
      <c r="F67" s="75"/>
      <c r="G67" s="75"/>
      <c r="H67" s="75"/>
      <c r="I67" s="75"/>
      <c r="J67" s="76"/>
      <c r="K67" s="19" t="s">
        <v>12</v>
      </c>
      <c r="L67" s="9" t="s">
        <v>11</v>
      </c>
    </row>
    <row r="68" spans="1:12" ht="11.25" customHeight="1" thickTop="1" x14ac:dyDescent="0.25">
      <c r="A68" s="10"/>
      <c r="B68" s="11"/>
      <c r="C68" s="11"/>
      <c r="D68" s="11"/>
      <c r="E68" s="11"/>
      <c r="F68" s="11"/>
      <c r="G68" s="11"/>
      <c r="H68" s="81"/>
      <c r="I68" s="11"/>
      <c r="J68" s="82"/>
      <c r="K68" s="83" t="s">
        <v>10</v>
      </c>
      <c r="L68" s="9"/>
    </row>
    <row r="69" spans="1:12" ht="11.25" customHeight="1" x14ac:dyDescent="0.25">
      <c r="A69" s="77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</row>
    <row r="70" spans="1:12" ht="11.25" customHeight="1" x14ac:dyDescent="0.25">
      <c r="A70" s="84" t="s">
        <v>9</v>
      </c>
      <c r="B70" s="85"/>
      <c r="C70" s="86"/>
      <c r="D70" s="87">
        <f>-D51*15%</f>
        <v>0</v>
      </c>
      <c r="E70" s="9"/>
      <c r="F70" s="9"/>
      <c r="G70" s="9"/>
      <c r="H70" s="9"/>
      <c r="I70" s="9"/>
      <c r="J70" s="9"/>
      <c r="K70" s="9"/>
      <c r="L70" s="9"/>
    </row>
  </sheetData>
  <sheetProtection selectLockedCells="1" selectUnlockedCells="1"/>
  <mergeCells count="13">
    <mergeCell ref="B29:C29"/>
    <mergeCell ref="B30:C30"/>
    <mergeCell ref="B31:C31"/>
    <mergeCell ref="B51:C51"/>
    <mergeCell ref="B46:C46"/>
    <mergeCell ref="B37:C37"/>
    <mergeCell ref="B32:C32"/>
    <mergeCell ref="C1:F1"/>
    <mergeCell ref="A2:J2"/>
    <mergeCell ref="A3:J3"/>
    <mergeCell ref="B26:C26"/>
    <mergeCell ref="B23:C23"/>
    <mergeCell ref="B18:C18"/>
  </mergeCells>
  <pageMargins left="0.25" right="0.25" top="0.75" bottom="0.75" header="0.3" footer="0.3"/>
  <pageSetup paperSize="9" scale="77" orientation="landscape" r:id="rId1"/>
  <headerFooter>
    <oddHeader>&amp;C&amp;L&amp;RAnexo N°. 141 / 013</oddHeader>
  </headerFooter>
  <colBreaks count="2" manualBreakCount="2">
    <brk id="10" max="58" man="1"/>
    <brk id="12" max="1048575" man="1"/>
  </colBreaks>
  <ignoredErrors>
    <ignoredError sqref="H51 J4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242"/>
  <sheetViews>
    <sheetView topLeftCell="A207" workbookViewId="0">
      <selection activeCell="C222" sqref="C222"/>
    </sheetView>
  </sheetViews>
  <sheetFormatPr defaultColWidth="17.21875" defaultRowHeight="15" customHeight="1" x14ac:dyDescent="0.25"/>
  <cols>
    <col min="1" max="1" width="25.6640625" style="92" customWidth="1"/>
    <col min="2" max="2" width="9.6640625" style="92" hidden="1" customWidth="1"/>
    <col min="3" max="3" width="81.21875" style="92" customWidth="1"/>
    <col min="4" max="5" width="13.6640625" style="92" customWidth="1"/>
    <col min="6" max="6" width="15.44140625" style="92" customWidth="1"/>
    <col min="7" max="7" width="15.33203125" style="92" bestFit="1" customWidth="1"/>
    <col min="8" max="8" width="10.33203125" style="92" bestFit="1" customWidth="1"/>
    <col min="9" max="16" width="9.109375" style="92" customWidth="1"/>
    <col min="17" max="26" width="10" style="92" customWidth="1"/>
    <col min="27" max="16384" width="17.21875" style="92"/>
  </cols>
  <sheetData>
    <row r="1" spans="1:6" ht="11.25" customHeight="1" x14ac:dyDescent="0.25">
      <c r="A1" s="173">
        <f>Menu!C4</f>
        <v>0</v>
      </c>
      <c r="B1" s="164"/>
      <c r="C1" s="164"/>
      <c r="D1" s="164"/>
      <c r="E1" s="164"/>
      <c r="F1" s="164"/>
    </row>
    <row r="2" spans="1:6" ht="11.25" customHeight="1" x14ac:dyDescent="0.25">
      <c r="A2" s="173" t="s">
        <v>399</v>
      </c>
      <c r="B2" s="164"/>
      <c r="C2" s="164"/>
      <c r="D2" s="164"/>
      <c r="E2" s="164"/>
      <c r="F2" s="164"/>
    </row>
    <row r="3" spans="1:6" ht="11.25" customHeight="1" x14ac:dyDescent="0.25">
      <c r="A3" s="174" t="s">
        <v>429</v>
      </c>
      <c r="B3" s="164"/>
      <c r="C3" s="164"/>
      <c r="D3" s="164"/>
      <c r="E3" s="164"/>
      <c r="F3" s="164"/>
    </row>
    <row r="4" spans="1:6" ht="11.25" customHeight="1" x14ac:dyDescent="0.25">
      <c r="A4" s="93"/>
      <c r="B4" s="93"/>
      <c r="C4" s="93"/>
      <c r="D4" s="95"/>
      <c r="E4" s="95"/>
      <c r="F4" s="95"/>
    </row>
    <row r="5" spans="1:6" ht="11.25" customHeight="1" x14ac:dyDescent="0.25">
      <c r="A5" s="93"/>
      <c r="B5" s="93"/>
      <c r="C5" s="93"/>
      <c r="D5" s="95" t="s">
        <v>398</v>
      </c>
      <c r="E5" s="95" t="s">
        <v>398</v>
      </c>
      <c r="F5" s="95" t="s">
        <v>397</v>
      </c>
    </row>
    <row r="6" spans="1:6" ht="11.25" customHeight="1" x14ac:dyDescent="0.25">
      <c r="A6" s="9"/>
      <c r="B6" s="9"/>
      <c r="C6" s="9"/>
      <c r="D6" s="112">
        <v>45473</v>
      </c>
      <c r="E6" s="112">
        <f>Menu!C6</f>
        <v>0</v>
      </c>
      <c r="F6" s="102"/>
    </row>
    <row r="7" spans="1:6" ht="11.25" customHeight="1" x14ac:dyDescent="0.25">
      <c r="A7" s="99" t="s">
        <v>396</v>
      </c>
      <c r="B7" s="101"/>
      <c r="C7" s="101"/>
      <c r="D7" s="101"/>
      <c r="E7" s="101"/>
      <c r="F7" s="101"/>
    </row>
    <row r="8" spans="1:6" ht="12.6" customHeight="1" x14ac:dyDescent="0.25">
      <c r="A8" s="96">
        <v>121011004</v>
      </c>
      <c r="B8" s="9" t="s">
        <v>395</v>
      </c>
      <c r="C8" s="9" t="s">
        <v>394</v>
      </c>
      <c r="D8" s="102">
        <v>0</v>
      </c>
      <c r="E8" s="102">
        <v>0</v>
      </c>
      <c r="F8" s="102">
        <f>D8-E8</f>
        <v>0</v>
      </c>
    </row>
    <row r="9" spans="1:6" ht="12.6" customHeight="1" x14ac:dyDescent="0.25">
      <c r="A9" s="96">
        <v>121012004</v>
      </c>
      <c r="B9" s="9" t="s">
        <v>393</v>
      </c>
      <c r="C9" s="9" t="s">
        <v>392</v>
      </c>
      <c r="D9" s="102">
        <v>0</v>
      </c>
      <c r="E9" s="102">
        <v>0</v>
      </c>
      <c r="F9" s="102">
        <f>D9-E9</f>
        <v>0</v>
      </c>
    </row>
    <row r="10" spans="1:6" ht="11.25" customHeight="1" x14ac:dyDescent="0.25">
      <c r="A10" s="9"/>
      <c r="B10" s="9" t="s">
        <v>12</v>
      </c>
      <c r="C10" s="103" t="s">
        <v>127</v>
      </c>
      <c r="D10" s="102">
        <f>SUM(D8:D9)</f>
        <v>0</v>
      </c>
      <c r="E10" s="102">
        <f>SUM(E8:E9)</f>
        <v>0</v>
      </c>
      <c r="F10" s="102">
        <f>SUM(F8:F9)</f>
        <v>0</v>
      </c>
    </row>
    <row r="11" spans="1:6" ht="11.25" customHeight="1" x14ac:dyDescent="0.25">
      <c r="A11" s="9"/>
      <c r="B11" s="9" t="s">
        <v>26</v>
      </c>
      <c r="C11" s="9"/>
      <c r="D11" s="102"/>
      <c r="E11" s="102"/>
      <c r="F11" s="102"/>
    </row>
    <row r="12" spans="1:6" ht="13.2" customHeight="1" x14ac:dyDescent="0.25">
      <c r="A12" s="99" t="s">
        <v>391</v>
      </c>
      <c r="B12" s="9"/>
      <c r="C12" s="104"/>
      <c r="D12" s="104"/>
      <c r="E12" s="104"/>
      <c r="F12" s="104"/>
    </row>
    <row r="13" spans="1:6" ht="12" customHeight="1" x14ac:dyDescent="0.25">
      <c r="A13" s="96">
        <v>212092001</v>
      </c>
      <c r="B13" s="9" t="s">
        <v>390</v>
      </c>
      <c r="C13" s="9" t="s">
        <v>389</v>
      </c>
      <c r="D13" s="102">
        <v>0</v>
      </c>
      <c r="E13" s="102">
        <v>0</v>
      </c>
      <c r="F13" s="102">
        <f>D13-E13</f>
        <v>0</v>
      </c>
    </row>
    <row r="14" spans="1:6" ht="12" customHeight="1" x14ac:dyDescent="0.25">
      <c r="A14" s="96">
        <v>212092003</v>
      </c>
      <c r="B14" s="9" t="s">
        <v>388</v>
      </c>
      <c r="C14" s="9" t="s">
        <v>387</v>
      </c>
      <c r="D14" s="102">
        <v>0</v>
      </c>
      <c r="E14" s="102">
        <v>0</v>
      </c>
      <c r="F14" s="102">
        <f t="shared" ref="F14:F21" si="0">D14-E14</f>
        <v>0</v>
      </c>
    </row>
    <row r="15" spans="1:6" ht="12" customHeight="1" x14ac:dyDescent="0.25">
      <c r="A15" s="96">
        <v>213021012</v>
      </c>
      <c r="B15" s="9" t="s">
        <v>386</v>
      </c>
      <c r="C15" s="9" t="s">
        <v>385</v>
      </c>
      <c r="D15" s="102">
        <v>0</v>
      </c>
      <c r="E15" s="102">
        <v>0</v>
      </c>
      <c r="F15" s="102">
        <f t="shared" si="0"/>
        <v>0</v>
      </c>
    </row>
    <row r="16" spans="1:6" ht="12" customHeight="1" x14ac:dyDescent="0.25">
      <c r="A16" s="96">
        <v>213022101</v>
      </c>
      <c r="B16" s="9" t="s">
        <v>384</v>
      </c>
      <c r="C16" s="9" t="s">
        <v>383</v>
      </c>
      <c r="D16" s="102">
        <v>0</v>
      </c>
      <c r="E16" s="102">
        <v>0</v>
      </c>
      <c r="F16" s="102">
        <f t="shared" si="0"/>
        <v>0</v>
      </c>
    </row>
    <row r="17" spans="1:6" ht="12" customHeight="1" x14ac:dyDescent="0.25">
      <c r="A17" s="96">
        <v>213023101</v>
      </c>
      <c r="B17" s="9" t="s">
        <v>382</v>
      </c>
      <c r="C17" s="9" t="s">
        <v>381</v>
      </c>
      <c r="D17" s="102">
        <v>0</v>
      </c>
      <c r="E17" s="102">
        <v>0</v>
      </c>
      <c r="F17" s="102">
        <f t="shared" si="0"/>
        <v>0</v>
      </c>
    </row>
    <row r="18" spans="1:6" ht="12" customHeight="1" x14ac:dyDescent="0.25">
      <c r="A18" s="96">
        <v>213023103</v>
      </c>
      <c r="B18" s="9" t="s">
        <v>380</v>
      </c>
      <c r="C18" s="9" t="s">
        <v>379</v>
      </c>
      <c r="D18" s="102">
        <v>0</v>
      </c>
      <c r="E18" s="102">
        <v>0</v>
      </c>
      <c r="F18" s="102">
        <f>D18-E18</f>
        <v>0</v>
      </c>
    </row>
    <row r="19" spans="1:6" ht="12" customHeight="1" x14ac:dyDescent="0.25">
      <c r="A19" s="96">
        <v>213023005</v>
      </c>
      <c r="B19" s="9"/>
      <c r="C19" s="9" t="s">
        <v>1</v>
      </c>
      <c r="D19" s="102">
        <v>0</v>
      </c>
      <c r="E19" s="102">
        <v>0</v>
      </c>
      <c r="F19" s="102">
        <f>D19-E19</f>
        <v>0</v>
      </c>
    </row>
    <row r="20" spans="1:6" ht="12" customHeight="1" x14ac:dyDescent="0.25">
      <c r="A20" s="96">
        <v>213025001</v>
      </c>
      <c r="B20" s="9" t="s">
        <v>378</v>
      </c>
      <c r="C20" s="9" t="s">
        <v>377</v>
      </c>
      <c r="D20" s="102">
        <v>0</v>
      </c>
      <c r="E20" s="102">
        <v>0</v>
      </c>
      <c r="F20" s="102">
        <f t="shared" si="0"/>
        <v>0</v>
      </c>
    </row>
    <row r="21" spans="1:6" ht="12" customHeight="1" x14ac:dyDescent="0.25">
      <c r="A21" s="96">
        <v>213025002</v>
      </c>
      <c r="B21" s="9" t="s">
        <v>376</v>
      </c>
      <c r="C21" s="9" t="s">
        <v>375</v>
      </c>
      <c r="D21" s="102">
        <v>0</v>
      </c>
      <c r="E21" s="102">
        <v>0</v>
      </c>
      <c r="F21" s="102">
        <f t="shared" si="0"/>
        <v>0</v>
      </c>
    </row>
    <row r="22" spans="1:6" ht="12" customHeight="1" x14ac:dyDescent="0.25">
      <c r="A22" s="9"/>
      <c r="B22" s="9" t="s">
        <v>12</v>
      </c>
      <c r="C22" s="103" t="s">
        <v>127</v>
      </c>
      <c r="D22" s="102">
        <f>SUM(D13:D21)</f>
        <v>0</v>
      </c>
      <c r="E22" s="102">
        <f>SUM(E13:E21)</f>
        <v>0</v>
      </c>
      <c r="F22" s="102">
        <f>SUM(F13:F21)</f>
        <v>0</v>
      </c>
    </row>
    <row r="23" spans="1:6" ht="12" customHeight="1" x14ac:dyDescent="0.25">
      <c r="A23" s="9"/>
      <c r="B23" s="9"/>
      <c r="C23" s="103"/>
      <c r="D23" s="102"/>
      <c r="E23" s="102"/>
      <c r="F23" s="102"/>
    </row>
    <row r="24" spans="1:6" ht="12" customHeight="1" x14ac:dyDescent="0.25">
      <c r="A24" s="99" t="s">
        <v>374</v>
      </c>
      <c r="B24" s="9"/>
      <c r="C24" s="104"/>
      <c r="D24" s="104"/>
      <c r="E24" s="104"/>
      <c r="F24" s="104"/>
    </row>
    <row r="25" spans="1:6" ht="12" customHeight="1" x14ac:dyDescent="0.25">
      <c r="A25" s="96">
        <v>111012995</v>
      </c>
      <c r="B25" s="96" t="s">
        <v>373</v>
      </c>
      <c r="C25" s="9" t="s">
        <v>368</v>
      </c>
      <c r="D25" s="102">
        <v>0</v>
      </c>
      <c r="E25" s="102">
        <v>0</v>
      </c>
      <c r="F25" s="102">
        <f t="shared" ref="F25:F56" si="1">D25-E25</f>
        <v>0</v>
      </c>
    </row>
    <row r="26" spans="1:6" ht="12" customHeight="1" x14ac:dyDescent="0.25">
      <c r="A26" s="96">
        <v>111016995</v>
      </c>
      <c r="B26" s="96" t="s">
        <v>372</v>
      </c>
      <c r="C26" s="9" t="s">
        <v>368</v>
      </c>
      <c r="D26" s="102">
        <v>0</v>
      </c>
      <c r="E26" s="102">
        <v>0</v>
      </c>
      <c r="F26" s="102">
        <f t="shared" si="1"/>
        <v>0</v>
      </c>
    </row>
    <row r="27" spans="1:6" ht="12" customHeight="1" x14ac:dyDescent="0.25">
      <c r="A27" s="96">
        <v>111017995</v>
      </c>
      <c r="B27" s="96" t="s">
        <v>371</v>
      </c>
      <c r="C27" s="9" t="s">
        <v>368</v>
      </c>
      <c r="D27" s="102">
        <v>0</v>
      </c>
      <c r="E27" s="102">
        <v>0</v>
      </c>
      <c r="F27" s="102">
        <f t="shared" si="1"/>
        <v>0</v>
      </c>
    </row>
    <row r="28" spans="1:6" ht="12" customHeight="1" x14ac:dyDescent="0.25">
      <c r="A28" s="96">
        <v>111018995</v>
      </c>
      <c r="B28" s="96" t="s">
        <v>370</v>
      </c>
      <c r="C28" s="9" t="s">
        <v>368</v>
      </c>
      <c r="D28" s="102">
        <v>0</v>
      </c>
      <c r="E28" s="102">
        <v>0</v>
      </c>
      <c r="F28" s="102">
        <f t="shared" si="1"/>
        <v>0</v>
      </c>
    </row>
    <row r="29" spans="1:6" ht="12" customHeight="1" x14ac:dyDescent="0.25">
      <c r="A29" s="96">
        <v>111019995</v>
      </c>
      <c r="B29" s="96" t="s">
        <v>369</v>
      </c>
      <c r="C29" s="9" t="s">
        <v>368</v>
      </c>
      <c r="D29" s="102">
        <v>0</v>
      </c>
      <c r="E29" s="102">
        <v>0</v>
      </c>
      <c r="F29" s="102">
        <f t="shared" si="1"/>
        <v>0</v>
      </c>
    </row>
    <row r="30" spans="1:6" ht="12" customHeight="1" x14ac:dyDescent="0.25">
      <c r="A30" s="96">
        <v>111022995</v>
      </c>
      <c r="B30" s="96" t="s">
        <v>367</v>
      </c>
      <c r="C30" s="9" t="s">
        <v>362</v>
      </c>
      <c r="D30" s="102">
        <v>0</v>
      </c>
      <c r="E30" s="102">
        <v>0</v>
      </c>
      <c r="F30" s="102">
        <f t="shared" si="1"/>
        <v>0</v>
      </c>
    </row>
    <row r="31" spans="1:6" ht="12" customHeight="1" x14ac:dyDescent="0.25">
      <c r="A31" s="96">
        <v>111026995</v>
      </c>
      <c r="B31" s="96" t="s">
        <v>366</v>
      </c>
      <c r="C31" s="9" t="s">
        <v>362</v>
      </c>
      <c r="D31" s="102">
        <v>0</v>
      </c>
      <c r="E31" s="102">
        <v>0</v>
      </c>
      <c r="F31" s="102">
        <f t="shared" si="1"/>
        <v>0</v>
      </c>
    </row>
    <row r="32" spans="1:6" ht="12" customHeight="1" x14ac:dyDescent="0.25">
      <c r="A32" s="96">
        <v>111027995</v>
      </c>
      <c r="B32" s="96" t="s">
        <v>365</v>
      </c>
      <c r="C32" s="9" t="s">
        <v>362</v>
      </c>
      <c r="D32" s="102">
        <v>0</v>
      </c>
      <c r="E32" s="102">
        <v>0</v>
      </c>
      <c r="F32" s="102">
        <f t="shared" si="1"/>
        <v>0</v>
      </c>
    </row>
    <row r="33" spans="1:6" ht="12" customHeight="1" x14ac:dyDescent="0.25">
      <c r="A33" s="96">
        <v>111028995</v>
      </c>
      <c r="B33" s="96" t="s">
        <v>364</v>
      </c>
      <c r="C33" s="9" t="s">
        <v>362</v>
      </c>
      <c r="D33" s="102">
        <v>0</v>
      </c>
      <c r="E33" s="102">
        <v>0</v>
      </c>
      <c r="F33" s="102">
        <f t="shared" si="1"/>
        <v>0</v>
      </c>
    </row>
    <row r="34" spans="1:6" ht="12" customHeight="1" x14ac:dyDescent="0.25">
      <c r="A34" s="96">
        <v>111029995</v>
      </c>
      <c r="B34" s="96" t="s">
        <v>363</v>
      </c>
      <c r="C34" s="9" t="s">
        <v>362</v>
      </c>
      <c r="D34" s="102">
        <v>0</v>
      </c>
      <c r="E34" s="102">
        <v>0</v>
      </c>
      <c r="F34" s="102">
        <f t="shared" si="1"/>
        <v>0</v>
      </c>
    </row>
    <row r="35" spans="1:6" ht="12" customHeight="1" x14ac:dyDescent="0.25">
      <c r="A35" s="96">
        <v>111031995</v>
      </c>
      <c r="B35" s="96" t="s">
        <v>361</v>
      </c>
      <c r="C35" s="9" t="s">
        <v>355</v>
      </c>
      <c r="D35" s="102">
        <v>0</v>
      </c>
      <c r="E35" s="102">
        <v>0</v>
      </c>
      <c r="F35" s="102">
        <f t="shared" si="1"/>
        <v>0</v>
      </c>
    </row>
    <row r="36" spans="1:6" ht="12" customHeight="1" x14ac:dyDescent="0.25">
      <c r="A36" s="96">
        <v>111032995</v>
      </c>
      <c r="B36" s="96" t="s">
        <v>360</v>
      </c>
      <c r="C36" s="9" t="s">
        <v>355</v>
      </c>
      <c r="D36" s="102">
        <v>0</v>
      </c>
      <c r="E36" s="102">
        <v>0</v>
      </c>
      <c r="F36" s="102">
        <f t="shared" si="1"/>
        <v>0</v>
      </c>
    </row>
    <row r="37" spans="1:6" ht="12" customHeight="1" x14ac:dyDescent="0.25">
      <c r="A37" s="96">
        <v>111036995</v>
      </c>
      <c r="B37" s="96" t="s">
        <v>359</v>
      </c>
      <c r="C37" s="9" t="s">
        <v>355</v>
      </c>
      <c r="D37" s="102">
        <v>0</v>
      </c>
      <c r="E37" s="102">
        <v>0</v>
      </c>
      <c r="F37" s="102">
        <f t="shared" si="1"/>
        <v>0</v>
      </c>
    </row>
    <row r="38" spans="1:6" ht="12" customHeight="1" x14ac:dyDescent="0.25">
      <c r="A38" s="96">
        <v>111037995</v>
      </c>
      <c r="B38" s="96" t="s">
        <v>358</v>
      </c>
      <c r="C38" s="9" t="s">
        <v>355</v>
      </c>
      <c r="D38" s="102">
        <v>0</v>
      </c>
      <c r="E38" s="102">
        <v>0</v>
      </c>
      <c r="F38" s="102">
        <f t="shared" si="1"/>
        <v>0</v>
      </c>
    </row>
    <row r="39" spans="1:6" ht="12" customHeight="1" x14ac:dyDescent="0.25">
      <c r="A39" s="96">
        <v>111038995</v>
      </c>
      <c r="B39" s="96" t="s">
        <v>357</v>
      </c>
      <c r="C39" s="9" t="s">
        <v>355</v>
      </c>
      <c r="D39" s="102">
        <v>0</v>
      </c>
      <c r="E39" s="102">
        <v>0</v>
      </c>
      <c r="F39" s="102">
        <f t="shared" si="1"/>
        <v>0</v>
      </c>
    </row>
    <row r="40" spans="1:6" ht="12" customHeight="1" x14ac:dyDescent="0.25">
      <c r="A40" s="96">
        <v>111039995</v>
      </c>
      <c r="B40" s="96" t="s">
        <v>356</v>
      </c>
      <c r="C40" s="9" t="s">
        <v>355</v>
      </c>
      <c r="D40" s="102">
        <v>0</v>
      </c>
      <c r="E40" s="102">
        <v>0</v>
      </c>
      <c r="F40" s="102">
        <f t="shared" si="1"/>
        <v>0</v>
      </c>
    </row>
    <row r="41" spans="1:6" ht="12" customHeight="1" x14ac:dyDescent="0.25">
      <c r="A41" s="96">
        <v>111042995</v>
      </c>
      <c r="B41" s="96" t="s">
        <v>354</v>
      </c>
      <c r="C41" s="9" t="s">
        <v>349</v>
      </c>
      <c r="D41" s="102">
        <v>0</v>
      </c>
      <c r="E41" s="102">
        <v>0</v>
      </c>
      <c r="F41" s="102">
        <f t="shared" si="1"/>
        <v>0</v>
      </c>
    </row>
    <row r="42" spans="1:6" ht="12" customHeight="1" x14ac:dyDescent="0.25">
      <c r="A42" s="96">
        <v>111046995</v>
      </c>
      <c r="B42" s="96" t="s">
        <v>353</v>
      </c>
      <c r="C42" s="9" t="s">
        <v>349</v>
      </c>
      <c r="D42" s="102">
        <v>0</v>
      </c>
      <c r="E42" s="102">
        <v>0</v>
      </c>
      <c r="F42" s="102">
        <f t="shared" si="1"/>
        <v>0</v>
      </c>
    </row>
    <row r="43" spans="1:6" ht="12" customHeight="1" x14ac:dyDescent="0.25">
      <c r="A43" s="96">
        <v>111047995</v>
      </c>
      <c r="B43" s="96" t="s">
        <v>352</v>
      </c>
      <c r="C43" s="9" t="s">
        <v>349</v>
      </c>
      <c r="D43" s="102">
        <v>0</v>
      </c>
      <c r="E43" s="102">
        <v>0</v>
      </c>
      <c r="F43" s="102">
        <f t="shared" si="1"/>
        <v>0</v>
      </c>
    </row>
    <row r="44" spans="1:6" ht="12" customHeight="1" x14ac:dyDescent="0.25">
      <c r="A44" s="96">
        <v>111048995</v>
      </c>
      <c r="B44" s="96" t="s">
        <v>351</v>
      </c>
      <c r="C44" s="9" t="s">
        <v>349</v>
      </c>
      <c r="D44" s="102">
        <v>0</v>
      </c>
      <c r="E44" s="102">
        <v>0</v>
      </c>
      <c r="F44" s="102">
        <f t="shared" si="1"/>
        <v>0</v>
      </c>
    </row>
    <row r="45" spans="1:6" ht="12" customHeight="1" x14ac:dyDescent="0.25">
      <c r="A45" s="96">
        <v>111049995</v>
      </c>
      <c r="B45" s="96" t="s">
        <v>350</v>
      </c>
      <c r="C45" s="9" t="s">
        <v>349</v>
      </c>
      <c r="D45" s="102">
        <v>0</v>
      </c>
      <c r="E45" s="102">
        <v>0</v>
      </c>
      <c r="F45" s="102">
        <f t="shared" si="1"/>
        <v>0</v>
      </c>
    </row>
    <row r="46" spans="1:6" ht="12" customHeight="1" x14ac:dyDescent="0.25">
      <c r="A46" s="96">
        <v>111052995</v>
      </c>
      <c r="B46" s="96" t="s">
        <v>348</v>
      </c>
      <c r="C46" s="9" t="s">
        <v>347</v>
      </c>
      <c r="D46" s="102">
        <v>0</v>
      </c>
      <c r="E46" s="102">
        <v>0</v>
      </c>
      <c r="F46" s="102">
        <f t="shared" si="1"/>
        <v>0</v>
      </c>
    </row>
    <row r="47" spans="1:6" ht="12" customHeight="1" x14ac:dyDescent="0.25">
      <c r="A47" s="96">
        <v>111053995</v>
      </c>
      <c r="B47" s="96" t="s">
        <v>346</v>
      </c>
      <c r="C47" s="9" t="s">
        <v>341</v>
      </c>
      <c r="D47" s="102">
        <v>0</v>
      </c>
      <c r="E47" s="102">
        <v>0</v>
      </c>
      <c r="F47" s="102">
        <f t="shared" si="1"/>
        <v>0</v>
      </c>
    </row>
    <row r="48" spans="1:6" ht="12" customHeight="1" x14ac:dyDescent="0.25">
      <c r="A48" s="96">
        <v>111056995</v>
      </c>
      <c r="B48" s="96" t="s">
        <v>345</v>
      </c>
      <c r="C48" s="9" t="s">
        <v>341</v>
      </c>
      <c r="D48" s="102">
        <v>0</v>
      </c>
      <c r="E48" s="102">
        <v>0</v>
      </c>
      <c r="F48" s="102">
        <f t="shared" si="1"/>
        <v>0</v>
      </c>
    </row>
    <row r="49" spans="1:6" ht="12" customHeight="1" x14ac:dyDescent="0.25">
      <c r="A49" s="96">
        <v>111057995</v>
      </c>
      <c r="B49" s="96" t="s">
        <v>344</v>
      </c>
      <c r="C49" s="9" t="s">
        <v>341</v>
      </c>
      <c r="D49" s="102">
        <v>0</v>
      </c>
      <c r="E49" s="102">
        <v>0</v>
      </c>
      <c r="F49" s="102">
        <f t="shared" si="1"/>
        <v>0</v>
      </c>
    </row>
    <row r="50" spans="1:6" ht="12" customHeight="1" x14ac:dyDescent="0.25">
      <c r="A50" s="96">
        <v>111058995</v>
      </c>
      <c r="B50" s="96" t="s">
        <v>343</v>
      </c>
      <c r="C50" s="9" t="s">
        <v>341</v>
      </c>
      <c r="D50" s="102">
        <v>0</v>
      </c>
      <c r="E50" s="102">
        <v>0</v>
      </c>
      <c r="F50" s="102">
        <f t="shared" si="1"/>
        <v>0</v>
      </c>
    </row>
    <row r="51" spans="1:6" ht="12" customHeight="1" x14ac:dyDescent="0.25">
      <c r="A51" s="96">
        <v>111059995</v>
      </c>
      <c r="B51" s="96" t="s">
        <v>342</v>
      </c>
      <c r="C51" s="9" t="s">
        <v>341</v>
      </c>
      <c r="D51" s="102">
        <v>0</v>
      </c>
      <c r="E51" s="102">
        <v>0</v>
      </c>
      <c r="F51" s="102">
        <f t="shared" si="1"/>
        <v>0</v>
      </c>
    </row>
    <row r="52" spans="1:6" ht="12" customHeight="1" x14ac:dyDescent="0.25">
      <c r="A52" s="96">
        <v>111062995</v>
      </c>
      <c r="B52" s="96" t="s">
        <v>340</v>
      </c>
      <c r="C52" s="9" t="s">
        <v>335</v>
      </c>
      <c r="D52" s="102">
        <v>0</v>
      </c>
      <c r="E52" s="102">
        <v>0</v>
      </c>
      <c r="F52" s="102">
        <f t="shared" si="1"/>
        <v>0</v>
      </c>
    </row>
    <row r="53" spans="1:6" ht="12" customHeight="1" x14ac:dyDescent="0.25">
      <c r="A53" s="96">
        <v>111066995</v>
      </c>
      <c r="B53" s="96" t="s">
        <v>339</v>
      </c>
      <c r="C53" s="9" t="s">
        <v>335</v>
      </c>
      <c r="D53" s="102">
        <v>0</v>
      </c>
      <c r="E53" s="102">
        <v>0</v>
      </c>
      <c r="F53" s="102">
        <f t="shared" si="1"/>
        <v>0</v>
      </c>
    </row>
    <row r="54" spans="1:6" ht="12" customHeight="1" x14ac:dyDescent="0.25">
      <c r="A54" s="96">
        <v>111067995</v>
      </c>
      <c r="B54" s="96" t="s">
        <v>338</v>
      </c>
      <c r="C54" s="9" t="s">
        <v>335</v>
      </c>
      <c r="D54" s="102">
        <v>0</v>
      </c>
      <c r="E54" s="102">
        <v>0</v>
      </c>
      <c r="F54" s="102">
        <f t="shared" si="1"/>
        <v>0</v>
      </c>
    </row>
    <row r="55" spans="1:6" ht="12" customHeight="1" x14ac:dyDescent="0.25">
      <c r="A55" s="96">
        <v>111068995</v>
      </c>
      <c r="B55" s="96" t="s">
        <v>337</v>
      </c>
      <c r="C55" s="9" t="s">
        <v>335</v>
      </c>
      <c r="D55" s="102">
        <v>0</v>
      </c>
      <c r="E55" s="102">
        <v>0</v>
      </c>
      <c r="F55" s="102">
        <f t="shared" si="1"/>
        <v>0</v>
      </c>
    </row>
    <row r="56" spans="1:6" ht="12" customHeight="1" x14ac:dyDescent="0.25">
      <c r="A56" s="96">
        <v>111069995</v>
      </c>
      <c r="B56" s="96" t="s">
        <v>336</v>
      </c>
      <c r="C56" s="9" t="s">
        <v>335</v>
      </c>
      <c r="D56" s="102">
        <v>0</v>
      </c>
      <c r="E56" s="102">
        <v>0</v>
      </c>
      <c r="F56" s="102">
        <f t="shared" si="1"/>
        <v>0</v>
      </c>
    </row>
    <row r="57" spans="1:6" ht="12" customHeight="1" x14ac:dyDescent="0.25">
      <c r="A57" s="96">
        <v>112016995</v>
      </c>
      <c r="B57" s="96" t="s">
        <v>334</v>
      </c>
      <c r="C57" s="9" t="s">
        <v>330</v>
      </c>
      <c r="D57" s="102">
        <v>0</v>
      </c>
      <c r="E57" s="102">
        <v>0</v>
      </c>
      <c r="F57" s="102">
        <f t="shared" ref="F57:F88" si="2">D57-E57</f>
        <v>0</v>
      </c>
    </row>
    <row r="58" spans="1:6" ht="12" customHeight="1" x14ac:dyDescent="0.25">
      <c r="A58" s="96">
        <v>112017995</v>
      </c>
      <c r="B58" s="96" t="s">
        <v>333</v>
      </c>
      <c r="C58" s="9" t="s">
        <v>330</v>
      </c>
      <c r="D58" s="102">
        <v>0</v>
      </c>
      <c r="E58" s="102">
        <v>0</v>
      </c>
      <c r="F58" s="102">
        <f t="shared" si="2"/>
        <v>0</v>
      </c>
    </row>
    <row r="59" spans="1:6" ht="12" customHeight="1" x14ac:dyDescent="0.25">
      <c r="A59" s="96">
        <v>112018995</v>
      </c>
      <c r="B59" s="96" t="s">
        <v>332</v>
      </c>
      <c r="C59" s="9" t="s">
        <v>330</v>
      </c>
      <c r="D59" s="102">
        <v>0</v>
      </c>
      <c r="E59" s="102">
        <v>0</v>
      </c>
      <c r="F59" s="102">
        <f t="shared" si="2"/>
        <v>0</v>
      </c>
    </row>
    <row r="60" spans="1:6" ht="12" customHeight="1" x14ac:dyDescent="0.25">
      <c r="A60" s="96">
        <v>112019995</v>
      </c>
      <c r="B60" s="96" t="s">
        <v>331</v>
      </c>
      <c r="C60" s="9" t="s">
        <v>330</v>
      </c>
      <c r="D60" s="102">
        <v>0</v>
      </c>
      <c r="E60" s="102">
        <v>0</v>
      </c>
      <c r="F60" s="102">
        <f t="shared" si="2"/>
        <v>0</v>
      </c>
    </row>
    <row r="61" spans="1:6" ht="12" customHeight="1" x14ac:dyDescent="0.25">
      <c r="A61" s="96">
        <v>113016995</v>
      </c>
      <c r="B61" s="96" t="s">
        <v>329</v>
      </c>
      <c r="C61" s="9" t="s">
        <v>325</v>
      </c>
      <c r="D61" s="102">
        <v>0</v>
      </c>
      <c r="E61" s="102">
        <v>0</v>
      </c>
      <c r="F61" s="102">
        <f t="shared" si="2"/>
        <v>0</v>
      </c>
    </row>
    <row r="62" spans="1:6" ht="12" customHeight="1" x14ac:dyDescent="0.25">
      <c r="A62" s="96">
        <v>113017995</v>
      </c>
      <c r="B62" s="96" t="s">
        <v>328</v>
      </c>
      <c r="C62" s="9" t="s">
        <v>325</v>
      </c>
      <c r="D62" s="102">
        <v>0</v>
      </c>
      <c r="E62" s="102">
        <v>0</v>
      </c>
      <c r="F62" s="102">
        <f t="shared" si="2"/>
        <v>0</v>
      </c>
    </row>
    <row r="63" spans="1:6" ht="12" customHeight="1" x14ac:dyDescent="0.25">
      <c r="A63" s="96">
        <v>113018995</v>
      </c>
      <c r="B63" s="96" t="s">
        <v>327</v>
      </c>
      <c r="C63" s="9" t="s">
        <v>325</v>
      </c>
      <c r="D63" s="102">
        <v>0</v>
      </c>
      <c r="E63" s="102">
        <v>0</v>
      </c>
      <c r="F63" s="102">
        <f t="shared" si="2"/>
        <v>0</v>
      </c>
    </row>
    <row r="64" spans="1:6" ht="12" customHeight="1" x14ac:dyDescent="0.25">
      <c r="A64" s="96">
        <v>113019995</v>
      </c>
      <c r="B64" s="96" t="s">
        <v>326</v>
      </c>
      <c r="C64" s="9" t="s">
        <v>325</v>
      </c>
      <c r="D64" s="102">
        <v>0</v>
      </c>
      <c r="E64" s="102">
        <v>0</v>
      </c>
      <c r="F64" s="102">
        <f t="shared" si="2"/>
        <v>0</v>
      </c>
    </row>
    <row r="65" spans="1:6" ht="12" customHeight="1" x14ac:dyDescent="0.25">
      <c r="A65" s="96">
        <v>113026995</v>
      </c>
      <c r="B65" s="96" t="s">
        <v>324</v>
      </c>
      <c r="C65" s="9" t="s">
        <v>320</v>
      </c>
      <c r="D65" s="102">
        <v>0</v>
      </c>
      <c r="E65" s="102">
        <v>0</v>
      </c>
      <c r="F65" s="102">
        <f t="shared" si="2"/>
        <v>0</v>
      </c>
    </row>
    <row r="66" spans="1:6" ht="12" customHeight="1" x14ac:dyDescent="0.25">
      <c r="A66" s="96">
        <v>113027995</v>
      </c>
      <c r="B66" s="96" t="s">
        <v>323</v>
      </c>
      <c r="C66" s="9" t="s">
        <v>320</v>
      </c>
      <c r="D66" s="102">
        <v>0</v>
      </c>
      <c r="E66" s="102">
        <v>0</v>
      </c>
      <c r="F66" s="102">
        <f t="shared" si="2"/>
        <v>0</v>
      </c>
    </row>
    <row r="67" spans="1:6" ht="12" customHeight="1" x14ac:dyDescent="0.25">
      <c r="A67" s="96">
        <v>113028995</v>
      </c>
      <c r="B67" s="96" t="s">
        <v>322</v>
      </c>
      <c r="C67" s="9" t="s">
        <v>320</v>
      </c>
      <c r="D67" s="102">
        <v>0</v>
      </c>
      <c r="E67" s="102">
        <v>0</v>
      </c>
      <c r="F67" s="102">
        <f t="shared" si="2"/>
        <v>0</v>
      </c>
    </row>
    <row r="68" spans="1:6" ht="12" customHeight="1" x14ac:dyDescent="0.25">
      <c r="A68" s="96">
        <v>113029995</v>
      </c>
      <c r="B68" s="96" t="s">
        <v>321</v>
      </c>
      <c r="C68" s="9" t="s">
        <v>320</v>
      </c>
      <c r="D68" s="102">
        <v>0</v>
      </c>
      <c r="E68" s="102">
        <v>0</v>
      </c>
      <c r="F68" s="102">
        <f t="shared" si="2"/>
        <v>0</v>
      </c>
    </row>
    <row r="69" spans="1:6" ht="12" customHeight="1" x14ac:dyDescent="0.25">
      <c r="A69" s="96">
        <v>113031995</v>
      </c>
      <c r="B69" s="96" t="s">
        <v>319</v>
      </c>
      <c r="C69" s="9" t="s">
        <v>318</v>
      </c>
      <c r="D69" s="102">
        <v>0</v>
      </c>
      <c r="E69" s="102">
        <v>0</v>
      </c>
      <c r="F69" s="102">
        <f t="shared" si="2"/>
        <v>0</v>
      </c>
    </row>
    <row r="70" spans="1:6" ht="12" customHeight="1" x14ac:dyDescent="0.25">
      <c r="A70" s="96">
        <v>113036995</v>
      </c>
      <c r="B70" s="96" t="s">
        <v>317</v>
      </c>
      <c r="C70" s="9" t="s">
        <v>313</v>
      </c>
      <c r="D70" s="102">
        <v>0</v>
      </c>
      <c r="E70" s="102">
        <v>0</v>
      </c>
      <c r="F70" s="102">
        <f t="shared" si="2"/>
        <v>0</v>
      </c>
    </row>
    <row r="71" spans="1:6" ht="12" customHeight="1" x14ac:dyDescent="0.25">
      <c r="A71" s="96">
        <v>113037995</v>
      </c>
      <c r="B71" s="96" t="s">
        <v>316</v>
      </c>
      <c r="C71" s="9" t="s">
        <v>313</v>
      </c>
      <c r="D71" s="102">
        <v>0</v>
      </c>
      <c r="E71" s="102">
        <v>0</v>
      </c>
      <c r="F71" s="102">
        <f t="shared" si="2"/>
        <v>0</v>
      </c>
    </row>
    <row r="72" spans="1:6" ht="12" customHeight="1" x14ac:dyDescent="0.25">
      <c r="A72" s="96">
        <v>113038995</v>
      </c>
      <c r="B72" s="96" t="s">
        <v>315</v>
      </c>
      <c r="C72" s="9" t="s">
        <v>313</v>
      </c>
      <c r="D72" s="102">
        <v>0</v>
      </c>
      <c r="E72" s="102">
        <v>0</v>
      </c>
      <c r="F72" s="102">
        <f t="shared" si="2"/>
        <v>0</v>
      </c>
    </row>
    <row r="73" spans="1:6" ht="12" customHeight="1" x14ac:dyDescent="0.25">
      <c r="A73" s="96">
        <v>113039995</v>
      </c>
      <c r="B73" s="96" t="s">
        <v>314</v>
      </c>
      <c r="C73" s="9" t="s">
        <v>313</v>
      </c>
      <c r="D73" s="102">
        <v>0</v>
      </c>
      <c r="E73" s="102">
        <v>0</v>
      </c>
      <c r="F73" s="102">
        <f t="shared" si="2"/>
        <v>0</v>
      </c>
    </row>
    <row r="74" spans="1:6" ht="12" customHeight="1" x14ac:dyDescent="0.25">
      <c r="A74" s="96">
        <v>113041995</v>
      </c>
      <c r="B74" s="96" t="s">
        <v>312</v>
      </c>
      <c r="C74" s="9" t="s">
        <v>311</v>
      </c>
      <c r="D74" s="102">
        <v>0</v>
      </c>
      <c r="E74" s="102">
        <v>0</v>
      </c>
      <c r="F74" s="102">
        <f t="shared" si="2"/>
        <v>0</v>
      </c>
    </row>
    <row r="75" spans="1:6" ht="12" customHeight="1" x14ac:dyDescent="0.25">
      <c r="A75" s="96">
        <v>113046995</v>
      </c>
      <c r="B75" s="96" t="s">
        <v>310</v>
      </c>
      <c r="C75" s="9" t="s">
        <v>306</v>
      </c>
      <c r="D75" s="102">
        <v>0</v>
      </c>
      <c r="E75" s="102">
        <v>0</v>
      </c>
      <c r="F75" s="102">
        <f t="shared" si="2"/>
        <v>0</v>
      </c>
    </row>
    <row r="76" spans="1:6" ht="12" customHeight="1" x14ac:dyDescent="0.25">
      <c r="A76" s="96">
        <v>113047995</v>
      </c>
      <c r="B76" s="96" t="s">
        <v>309</v>
      </c>
      <c r="C76" s="9" t="s">
        <v>306</v>
      </c>
      <c r="D76" s="102">
        <v>0</v>
      </c>
      <c r="E76" s="102">
        <v>0</v>
      </c>
      <c r="F76" s="102">
        <f t="shared" si="2"/>
        <v>0</v>
      </c>
    </row>
    <row r="77" spans="1:6" ht="12" customHeight="1" x14ac:dyDescent="0.25">
      <c r="A77" s="96">
        <v>113048995</v>
      </c>
      <c r="B77" s="96" t="s">
        <v>308</v>
      </c>
      <c r="C77" s="9" t="s">
        <v>306</v>
      </c>
      <c r="D77" s="102">
        <v>0</v>
      </c>
      <c r="E77" s="102">
        <v>0</v>
      </c>
      <c r="F77" s="102">
        <f t="shared" si="2"/>
        <v>0</v>
      </c>
    </row>
    <row r="78" spans="1:6" ht="12" customHeight="1" x14ac:dyDescent="0.25">
      <c r="A78" s="96">
        <v>113049995</v>
      </c>
      <c r="B78" s="96" t="s">
        <v>307</v>
      </c>
      <c r="C78" s="9" t="s">
        <v>306</v>
      </c>
      <c r="D78" s="102">
        <v>0</v>
      </c>
      <c r="E78" s="102">
        <v>0</v>
      </c>
      <c r="F78" s="102">
        <f t="shared" si="2"/>
        <v>0</v>
      </c>
    </row>
    <row r="79" spans="1:6" ht="12" customHeight="1" x14ac:dyDescent="0.25">
      <c r="A79" s="96">
        <v>113096995</v>
      </c>
      <c r="B79" s="96" t="s">
        <v>305</v>
      </c>
      <c r="C79" s="9" t="s">
        <v>301</v>
      </c>
      <c r="D79" s="102">
        <v>0</v>
      </c>
      <c r="E79" s="102">
        <v>0</v>
      </c>
      <c r="F79" s="102">
        <f t="shared" si="2"/>
        <v>0</v>
      </c>
    </row>
    <row r="80" spans="1:6" ht="12" customHeight="1" x14ac:dyDescent="0.25">
      <c r="A80" s="96">
        <v>113097995</v>
      </c>
      <c r="B80" s="96" t="s">
        <v>304</v>
      </c>
      <c r="C80" s="9" t="s">
        <v>301</v>
      </c>
      <c r="D80" s="102">
        <v>0</v>
      </c>
      <c r="E80" s="102">
        <v>0</v>
      </c>
      <c r="F80" s="102">
        <f t="shared" si="2"/>
        <v>0</v>
      </c>
    </row>
    <row r="81" spans="1:6" ht="12" customHeight="1" x14ac:dyDescent="0.25">
      <c r="A81" s="96">
        <v>113098995</v>
      </c>
      <c r="B81" s="96" t="s">
        <v>303</v>
      </c>
      <c r="C81" s="9" t="s">
        <v>301</v>
      </c>
      <c r="D81" s="102">
        <v>0</v>
      </c>
      <c r="E81" s="102">
        <v>0</v>
      </c>
      <c r="F81" s="102">
        <f t="shared" si="2"/>
        <v>0</v>
      </c>
    </row>
    <row r="82" spans="1:6" ht="12" customHeight="1" x14ac:dyDescent="0.25">
      <c r="A82" s="96">
        <v>113099995</v>
      </c>
      <c r="B82" s="96" t="s">
        <v>302</v>
      </c>
      <c r="C82" s="9" t="s">
        <v>301</v>
      </c>
      <c r="D82" s="102">
        <v>0</v>
      </c>
      <c r="E82" s="102">
        <v>0</v>
      </c>
      <c r="F82" s="102">
        <f t="shared" si="2"/>
        <v>0</v>
      </c>
    </row>
    <row r="83" spans="1:6" ht="12" customHeight="1" x14ac:dyDescent="0.25">
      <c r="A83" s="96">
        <v>114011995</v>
      </c>
      <c r="B83" s="96" t="s">
        <v>300</v>
      </c>
      <c r="C83" s="9" t="s">
        <v>299</v>
      </c>
      <c r="D83" s="102">
        <v>0</v>
      </c>
      <c r="E83" s="102">
        <v>0</v>
      </c>
      <c r="F83" s="102">
        <f t="shared" si="2"/>
        <v>0</v>
      </c>
    </row>
    <row r="84" spans="1:6" ht="12" customHeight="1" x14ac:dyDescent="0.25">
      <c r="A84" s="96">
        <v>114012995</v>
      </c>
      <c r="B84" s="96" t="s">
        <v>298</v>
      </c>
      <c r="C84" s="113" t="s">
        <v>297</v>
      </c>
      <c r="D84" s="102">
        <v>0</v>
      </c>
      <c r="E84" s="102">
        <v>0</v>
      </c>
      <c r="F84" s="102">
        <f t="shared" si="2"/>
        <v>0</v>
      </c>
    </row>
    <row r="85" spans="1:6" ht="12" customHeight="1" x14ac:dyDescent="0.25">
      <c r="A85" s="96">
        <v>114014995</v>
      </c>
      <c r="B85" s="96" t="s">
        <v>296</v>
      </c>
      <c r="C85" s="113" t="s">
        <v>291</v>
      </c>
      <c r="D85" s="102">
        <v>0</v>
      </c>
      <c r="E85" s="102">
        <v>0</v>
      </c>
      <c r="F85" s="102">
        <f t="shared" si="2"/>
        <v>0</v>
      </c>
    </row>
    <row r="86" spans="1:6" ht="12" customHeight="1" x14ac:dyDescent="0.25">
      <c r="A86" s="96">
        <v>114015995</v>
      </c>
      <c r="B86" s="96" t="s">
        <v>295</v>
      </c>
      <c r="C86" s="113" t="s">
        <v>289</v>
      </c>
      <c r="D86" s="102">
        <v>0</v>
      </c>
      <c r="E86" s="102">
        <v>0</v>
      </c>
      <c r="F86" s="102">
        <f t="shared" si="2"/>
        <v>0</v>
      </c>
    </row>
    <row r="87" spans="1:6" ht="12" customHeight="1" x14ac:dyDescent="0.25">
      <c r="A87" s="96">
        <v>114016995</v>
      </c>
      <c r="B87" s="96" t="s">
        <v>294</v>
      </c>
      <c r="C87" s="113" t="s">
        <v>293</v>
      </c>
      <c r="D87" s="102">
        <v>0</v>
      </c>
      <c r="E87" s="102">
        <v>0</v>
      </c>
      <c r="F87" s="102">
        <f t="shared" si="2"/>
        <v>0</v>
      </c>
    </row>
    <row r="88" spans="1:6" ht="12" customHeight="1" x14ac:dyDescent="0.25">
      <c r="A88" s="96">
        <v>114017995</v>
      </c>
      <c r="B88" s="96" t="s">
        <v>292</v>
      </c>
      <c r="C88" s="113" t="s">
        <v>291</v>
      </c>
      <c r="D88" s="102">
        <v>0</v>
      </c>
      <c r="E88" s="102">
        <v>0</v>
      </c>
      <c r="F88" s="102">
        <f t="shared" si="2"/>
        <v>0</v>
      </c>
    </row>
    <row r="89" spans="1:6" ht="12" customHeight="1" x14ac:dyDescent="0.25">
      <c r="A89" s="96" t="s">
        <v>426</v>
      </c>
      <c r="B89" s="96" t="s">
        <v>290</v>
      </c>
      <c r="C89" s="113" t="s">
        <v>289</v>
      </c>
      <c r="D89" s="102">
        <v>0</v>
      </c>
      <c r="E89" s="102">
        <v>0</v>
      </c>
      <c r="F89" s="102">
        <f t="shared" ref="F89:F120" si="3">D89-E89</f>
        <v>0</v>
      </c>
    </row>
    <row r="90" spans="1:6" ht="12" customHeight="1" x14ac:dyDescent="0.25">
      <c r="A90" s="96">
        <v>114019995</v>
      </c>
      <c r="B90" s="96" t="s">
        <v>288</v>
      </c>
      <c r="C90" s="113" t="s">
        <v>287</v>
      </c>
      <c r="D90" s="102">
        <v>0</v>
      </c>
      <c r="E90" s="102">
        <v>0</v>
      </c>
      <c r="F90" s="102">
        <f t="shared" si="3"/>
        <v>0</v>
      </c>
    </row>
    <row r="91" spans="1:6" ht="12" customHeight="1" x14ac:dyDescent="0.25">
      <c r="A91" s="96">
        <v>114026995</v>
      </c>
      <c r="B91" s="96" t="s">
        <v>286</v>
      </c>
      <c r="C91" s="113" t="s">
        <v>282</v>
      </c>
      <c r="D91" s="102">
        <v>0</v>
      </c>
      <c r="E91" s="102">
        <v>0</v>
      </c>
      <c r="F91" s="102">
        <f t="shared" si="3"/>
        <v>0</v>
      </c>
    </row>
    <row r="92" spans="1:6" ht="12" customHeight="1" x14ac:dyDescent="0.25">
      <c r="A92" s="96">
        <v>114027995</v>
      </c>
      <c r="B92" s="96" t="s">
        <v>285</v>
      </c>
      <c r="C92" s="113" t="s">
        <v>282</v>
      </c>
      <c r="D92" s="102">
        <v>0</v>
      </c>
      <c r="E92" s="102">
        <v>0</v>
      </c>
      <c r="F92" s="102">
        <f t="shared" si="3"/>
        <v>0</v>
      </c>
    </row>
    <row r="93" spans="1:6" ht="12" customHeight="1" x14ac:dyDescent="0.25">
      <c r="A93" s="96">
        <v>114028995</v>
      </c>
      <c r="B93" s="96" t="s">
        <v>284</v>
      </c>
      <c r="C93" s="113" t="s">
        <v>282</v>
      </c>
      <c r="D93" s="102">
        <v>0</v>
      </c>
      <c r="E93" s="102">
        <v>0</v>
      </c>
      <c r="F93" s="102">
        <f t="shared" si="3"/>
        <v>0</v>
      </c>
    </row>
    <row r="94" spans="1:6" ht="12" customHeight="1" x14ac:dyDescent="0.25">
      <c r="A94" s="96">
        <v>114029995</v>
      </c>
      <c r="B94" s="96" t="s">
        <v>283</v>
      </c>
      <c r="C94" s="113" t="s">
        <v>282</v>
      </c>
      <c r="D94" s="102">
        <v>0</v>
      </c>
      <c r="E94" s="102">
        <v>0</v>
      </c>
      <c r="F94" s="102">
        <f t="shared" si="3"/>
        <v>0</v>
      </c>
    </row>
    <row r="95" spans="1:6" ht="12" customHeight="1" x14ac:dyDescent="0.25">
      <c r="A95" s="96">
        <v>114036995</v>
      </c>
      <c r="B95" s="96" t="s">
        <v>281</v>
      </c>
      <c r="C95" s="113" t="s">
        <v>277</v>
      </c>
      <c r="D95" s="102">
        <v>0</v>
      </c>
      <c r="E95" s="102">
        <v>0</v>
      </c>
      <c r="F95" s="102">
        <f t="shared" si="3"/>
        <v>0</v>
      </c>
    </row>
    <row r="96" spans="1:6" ht="12" customHeight="1" x14ac:dyDescent="0.25">
      <c r="A96" s="96">
        <v>114037995</v>
      </c>
      <c r="B96" s="96" t="s">
        <v>280</v>
      </c>
      <c r="C96" s="113" t="s">
        <v>277</v>
      </c>
      <c r="D96" s="102">
        <v>0</v>
      </c>
      <c r="E96" s="102">
        <v>0</v>
      </c>
      <c r="F96" s="102">
        <f t="shared" si="3"/>
        <v>0</v>
      </c>
    </row>
    <row r="97" spans="1:6" ht="12" customHeight="1" x14ac:dyDescent="0.25">
      <c r="A97" s="96">
        <v>114038995</v>
      </c>
      <c r="B97" s="96" t="s">
        <v>279</v>
      </c>
      <c r="C97" s="113" t="s">
        <v>277</v>
      </c>
      <c r="D97" s="102">
        <v>0</v>
      </c>
      <c r="E97" s="102">
        <v>0</v>
      </c>
      <c r="F97" s="102">
        <f t="shared" si="3"/>
        <v>0</v>
      </c>
    </row>
    <row r="98" spans="1:6" ht="12" customHeight="1" x14ac:dyDescent="0.25">
      <c r="A98" s="96">
        <v>114039995</v>
      </c>
      <c r="B98" s="96" t="s">
        <v>278</v>
      </c>
      <c r="C98" s="113" t="s">
        <v>277</v>
      </c>
      <c r="D98" s="102">
        <v>0</v>
      </c>
      <c r="E98" s="102">
        <v>0</v>
      </c>
      <c r="F98" s="102">
        <f t="shared" si="3"/>
        <v>0</v>
      </c>
    </row>
    <row r="99" spans="1:6" ht="12" customHeight="1" x14ac:dyDescent="0.25">
      <c r="A99" s="96">
        <v>114051995</v>
      </c>
      <c r="B99" s="96" t="s">
        <v>276</v>
      </c>
      <c r="C99" s="113" t="s">
        <v>275</v>
      </c>
      <c r="D99" s="102">
        <v>0</v>
      </c>
      <c r="E99" s="102">
        <v>0</v>
      </c>
      <c r="F99" s="102">
        <f t="shared" si="3"/>
        <v>0</v>
      </c>
    </row>
    <row r="100" spans="1:6" ht="12" customHeight="1" x14ac:dyDescent="0.25">
      <c r="A100" s="96">
        <v>114052995</v>
      </c>
      <c r="B100" s="96" t="s">
        <v>274</v>
      </c>
      <c r="C100" s="9" t="s">
        <v>271</v>
      </c>
      <c r="D100" s="102">
        <v>0</v>
      </c>
      <c r="E100" s="102">
        <v>0</v>
      </c>
      <c r="F100" s="102">
        <f t="shared" si="3"/>
        <v>0</v>
      </c>
    </row>
    <row r="101" spans="1:6" ht="12" customHeight="1" x14ac:dyDescent="0.25">
      <c r="A101" s="96">
        <v>114054995</v>
      </c>
      <c r="B101" s="96" t="s">
        <v>273</v>
      </c>
      <c r="C101" s="9" t="s">
        <v>269</v>
      </c>
      <c r="D101" s="102">
        <v>0</v>
      </c>
      <c r="E101" s="102">
        <v>0</v>
      </c>
      <c r="F101" s="102">
        <f t="shared" si="3"/>
        <v>0</v>
      </c>
    </row>
    <row r="102" spans="1:6" ht="12" customHeight="1" x14ac:dyDescent="0.25">
      <c r="A102" s="96">
        <v>114056995</v>
      </c>
      <c r="B102" s="96" t="s">
        <v>272</v>
      </c>
      <c r="C102" s="9" t="s">
        <v>271</v>
      </c>
      <c r="D102" s="102">
        <v>0</v>
      </c>
      <c r="E102" s="102">
        <v>0</v>
      </c>
      <c r="F102" s="102">
        <f>D102-E102</f>
        <v>0</v>
      </c>
    </row>
    <row r="103" spans="1:6" ht="12" customHeight="1" x14ac:dyDescent="0.25">
      <c r="A103" s="96">
        <v>114057995</v>
      </c>
      <c r="B103" s="96" t="s">
        <v>270</v>
      </c>
      <c r="C103" s="9" t="s">
        <v>269</v>
      </c>
      <c r="D103" s="102">
        <v>0</v>
      </c>
      <c r="E103" s="102">
        <v>0</v>
      </c>
      <c r="F103" s="102">
        <f t="shared" si="3"/>
        <v>0</v>
      </c>
    </row>
    <row r="104" spans="1:6" ht="12" customHeight="1" x14ac:dyDescent="0.25">
      <c r="A104" s="96">
        <v>114058995</v>
      </c>
      <c r="B104" s="96" t="s">
        <v>268</v>
      </c>
      <c r="C104" s="9" t="s">
        <v>266</v>
      </c>
      <c r="D104" s="102">
        <v>0</v>
      </c>
      <c r="E104" s="102">
        <v>0</v>
      </c>
      <c r="F104" s="102">
        <f t="shared" si="3"/>
        <v>0</v>
      </c>
    </row>
    <row r="105" spans="1:6" ht="12" customHeight="1" x14ac:dyDescent="0.25">
      <c r="A105" s="96">
        <v>114059995</v>
      </c>
      <c r="B105" s="96" t="s">
        <v>267</v>
      </c>
      <c r="C105" s="9" t="s">
        <v>266</v>
      </c>
      <c r="D105" s="102">
        <v>0</v>
      </c>
      <c r="E105" s="102">
        <v>0</v>
      </c>
      <c r="F105" s="102">
        <f t="shared" si="3"/>
        <v>0</v>
      </c>
    </row>
    <row r="106" spans="1:6" ht="12" customHeight="1" x14ac:dyDescent="0.25">
      <c r="A106" s="96">
        <v>115071995</v>
      </c>
      <c r="B106" s="96" t="s">
        <v>265</v>
      </c>
      <c r="C106" s="9" t="s">
        <v>264</v>
      </c>
      <c r="D106" s="102">
        <v>0</v>
      </c>
      <c r="E106" s="102">
        <v>0</v>
      </c>
      <c r="F106" s="102">
        <f t="shared" si="3"/>
        <v>0</v>
      </c>
    </row>
    <row r="107" spans="1:6" ht="12" customHeight="1" x14ac:dyDescent="0.25">
      <c r="A107" s="96">
        <v>171016995</v>
      </c>
      <c r="B107" s="96" t="s">
        <v>263</v>
      </c>
      <c r="C107" s="9" t="s">
        <v>259</v>
      </c>
      <c r="D107" s="102">
        <v>0</v>
      </c>
      <c r="E107" s="102">
        <v>0</v>
      </c>
      <c r="F107" s="102">
        <f t="shared" si="3"/>
        <v>0</v>
      </c>
    </row>
    <row r="108" spans="1:6" ht="12" customHeight="1" x14ac:dyDescent="0.25">
      <c r="A108" s="96">
        <v>171017995</v>
      </c>
      <c r="B108" s="96" t="s">
        <v>262</v>
      </c>
      <c r="C108" s="9" t="s">
        <v>259</v>
      </c>
      <c r="D108" s="102">
        <v>0</v>
      </c>
      <c r="E108" s="102">
        <v>0</v>
      </c>
      <c r="F108" s="102">
        <f t="shared" si="3"/>
        <v>0</v>
      </c>
    </row>
    <row r="109" spans="1:6" ht="12" customHeight="1" x14ac:dyDescent="0.25">
      <c r="A109" s="96">
        <v>171018995</v>
      </c>
      <c r="B109" s="96" t="s">
        <v>261</v>
      </c>
      <c r="C109" s="9" t="s">
        <v>259</v>
      </c>
      <c r="D109" s="102">
        <v>0</v>
      </c>
      <c r="E109" s="102">
        <v>0</v>
      </c>
      <c r="F109" s="102">
        <f t="shared" si="3"/>
        <v>0</v>
      </c>
    </row>
    <row r="110" spans="1:6" ht="12" customHeight="1" x14ac:dyDescent="0.25">
      <c r="A110" s="96">
        <v>171019995</v>
      </c>
      <c r="B110" s="96" t="s">
        <v>260</v>
      </c>
      <c r="C110" s="9" t="s">
        <v>259</v>
      </c>
      <c r="D110" s="102">
        <v>0</v>
      </c>
      <c r="E110" s="102">
        <v>0</v>
      </c>
      <c r="F110" s="102">
        <f t="shared" si="3"/>
        <v>0</v>
      </c>
    </row>
    <row r="111" spans="1:6" ht="12" customHeight="1" x14ac:dyDescent="0.25">
      <c r="A111" s="96">
        <v>211016995</v>
      </c>
      <c r="B111" s="96" t="s">
        <v>258</v>
      </c>
      <c r="C111" s="9" t="s">
        <v>254</v>
      </c>
      <c r="D111" s="102">
        <v>0</v>
      </c>
      <c r="E111" s="102">
        <v>0</v>
      </c>
      <c r="F111" s="102">
        <f t="shared" si="3"/>
        <v>0</v>
      </c>
    </row>
    <row r="112" spans="1:6" ht="12" customHeight="1" x14ac:dyDescent="0.25">
      <c r="A112" s="96">
        <v>211017995</v>
      </c>
      <c r="B112" s="96" t="s">
        <v>257</v>
      </c>
      <c r="C112" s="9" t="s">
        <v>254</v>
      </c>
      <c r="D112" s="102">
        <v>0</v>
      </c>
      <c r="E112" s="102">
        <v>0</v>
      </c>
      <c r="F112" s="102">
        <f t="shared" si="3"/>
        <v>0</v>
      </c>
    </row>
    <row r="113" spans="1:6" ht="12" customHeight="1" x14ac:dyDescent="0.25">
      <c r="A113" s="96">
        <v>211018995</v>
      </c>
      <c r="B113" s="96" t="s">
        <v>256</v>
      </c>
      <c r="C113" s="9" t="s">
        <v>254</v>
      </c>
      <c r="D113" s="102">
        <v>0</v>
      </c>
      <c r="E113" s="102">
        <v>0</v>
      </c>
      <c r="F113" s="102">
        <f t="shared" si="3"/>
        <v>0</v>
      </c>
    </row>
    <row r="114" spans="1:6" ht="12" customHeight="1" x14ac:dyDescent="0.25">
      <c r="A114" s="96">
        <v>211019995</v>
      </c>
      <c r="B114" s="96" t="s">
        <v>255</v>
      </c>
      <c r="C114" s="9" t="s">
        <v>254</v>
      </c>
      <c r="D114" s="102">
        <v>0</v>
      </c>
      <c r="E114" s="102">
        <v>0</v>
      </c>
      <c r="F114" s="102">
        <f t="shared" si="3"/>
        <v>0</v>
      </c>
    </row>
    <row r="115" spans="1:6" ht="12" customHeight="1" x14ac:dyDescent="0.25">
      <c r="A115" s="96">
        <v>212013995</v>
      </c>
      <c r="B115" s="96" t="s">
        <v>253</v>
      </c>
      <c r="C115" s="9" t="s">
        <v>248</v>
      </c>
      <c r="D115" s="102">
        <v>0</v>
      </c>
      <c r="E115" s="102">
        <v>0</v>
      </c>
      <c r="F115" s="102">
        <f t="shared" si="3"/>
        <v>0</v>
      </c>
    </row>
    <row r="116" spans="1:6" ht="12" customHeight="1" x14ac:dyDescent="0.25">
      <c r="A116" s="96">
        <v>212016995</v>
      </c>
      <c r="B116" s="96" t="s">
        <v>252</v>
      </c>
      <c r="C116" s="9" t="s">
        <v>248</v>
      </c>
      <c r="D116" s="102">
        <v>0</v>
      </c>
      <c r="E116" s="102">
        <v>0</v>
      </c>
      <c r="F116" s="102">
        <f t="shared" si="3"/>
        <v>0</v>
      </c>
    </row>
    <row r="117" spans="1:6" ht="12" customHeight="1" x14ac:dyDescent="0.25">
      <c r="A117" s="96">
        <v>212017995</v>
      </c>
      <c r="B117" s="96" t="s">
        <v>251</v>
      </c>
      <c r="C117" s="9" t="s">
        <v>248</v>
      </c>
      <c r="D117" s="102">
        <v>0</v>
      </c>
      <c r="E117" s="102">
        <v>0</v>
      </c>
      <c r="F117" s="102">
        <f t="shared" si="3"/>
        <v>0</v>
      </c>
    </row>
    <row r="118" spans="1:6" ht="12" customHeight="1" x14ac:dyDescent="0.25">
      <c r="A118" s="96">
        <v>212018995</v>
      </c>
      <c r="B118" s="96" t="s">
        <v>250</v>
      </c>
      <c r="C118" s="9" t="s">
        <v>248</v>
      </c>
      <c r="D118" s="102">
        <v>0</v>
      </c>
      <c r="E118" s="102">
        <v>0</v>
      </c>
      <c r="F118" s="102">
        <f t="shared" si="3"/>
        <v>0</v>
      </c>
    </row>
    <row r="119" spans="1:6" ht="12" customHeight="1" x14ac:dyDescent="0.25">
      <c r="A119" s="96">
        <v>212019995</v>
      </c>
      <c r="B119" s="96" t="s">
        <v>249</v>
      </c>
      <c r="C119" s="9" t="s">
        <v>248</v>
      </c>
      <c r="D119" s="102">
        <v>0</v>
      </c>
      <c r="E119" s="102">
        <v>0</v>
      </c>
      <c r="F119" s="102">
        <f t="shared" si="3"/>
        <v>0</v>
      </c>
    </row>
    <row r="120" spans="1:6" ht="12" customHeight="1" x14ac:dyDescent="0.25">
      <c r="A120" s="96">
        <v>212051995</v>
      </c>
      <c r="B120" s="96" t="s">
        <v>247</v>
      </c>
      <c r="C120" s="9" t="s">
        <v>246</v>
      </c>
      <c r="D120" s="102">
        <v>0</v>
      </c>
      <c r="E120" s="102">
        <v>0</v>
      </c>
      <c r="F120" s="102">
        <f t="shared" si="3"/>
        <v>0</v>
      </c>
    </row>
    <row r="121" spans="1:6" ht="12" customHeight="1" x14ac:dyDescent="0.25">
      <c r="A121" s="96">
        <v>212052995</v>
      </c>
      <c r="B121" s="96" t="s">
        <v>245</v>
      </c>
      <c r="C121" s="9" t="s">
        <v>244</v>
      </c>
      <c r="D121" s="102">
        <v>0</v>
      </c>
      <c r="E121" s="102">
        <v>0</v>
      </c>
      <c r="F121" s="102">
        <f t="shared" ref="F121:F142" si="4">D121-E121</f>
        <v>0</v>
      </c>
    </row>
    <row r="122" spans="1:6" ht="12" customHeight="1" x14ac:dyDescent="0.25">
      <c r="A122" s="96">
        <v>212055995</v>
      </c>
      <c r="B122" s="96" t="s">
        <v>243</v>
      </c>
      <c r="C122" s="9" t="s">
        <v>237</v>
      </c>
      <c r="D122" s="102">
        <v>0</v>
      </c>
      <c r="E122" s="102">
        <v>0</v>
      </c>
      <c r="F122" s="102">
        <f t="shared" si="4"/>
        <v>0</v>
      </c>
    </row>
    <row r="123" spans="1:6" ht="12" customHeight="1" x14ac:dyDescent="0.25">
      <c r="A123" s="96">
        <v>212056995</v>
      </c>
      <c r="B123" s="96" t="s">
        <v>242</v>
      </c>
      <c r="C123" s="9" t="s">
        <v>241</v>
      </c>
      <c r="D123" s="102">
        <v>0</v>
      </c>
      <c r="E123" s="102">
        <v>0</v>
      </c>
      <c r="F123" s="102">
        <f t="shared" si="4"/>
        <v>0</v>
      </c>
    </row>
    <row r="124" spans="1:6" ht="12" customHeight="1" x14ac:dyDescent="0.25">
      <c r="A124" s="96">
        <v>212057995</v>
      </c>
      <c r="B124" s="96" t="s">
        <v>240</v>
      </c>
      <c r="C124" s="9" t="s">
        <v>239</v>
      </c>
      <c r="D124" s="102">
        <v>0</v>
      </c>
      <c r="E124" s="102">
        <v>0</v>
      </c>
      <c r="F124" s="102">
        <f t="shared" si="4"/>
        <v>0</v>
      </c>
    </row>
    <row r="125" spans="1:6" ht="12" customHeight="1" x14ac:dyDescent="0.25">
      <c r="A125" s="96">
        <v>212058995</v>
      </c>
      <c r="B125" s="96" t="s">
        <v>238</v>
      </c>
      <c r="C125" s="9" t="s">
        <v>237</v>
      </c>
      <c r="D125" s="102">
        <v>0</v>
      </c>
      <c r="E125" s="102">
        <v>0</v>
      </c>
      <c r="F125" s="102">
        <f>D125-E125</f>
        <v>0</v>
      </c>
    </row>
    <row r="126" spans="1:6" ht="12" customHeight="1" x14ac:dyDescent="0.25">
      <c r="A126" s="96">
        <v>212059995</v>
      </c>
      <c r="B126" s="96" t="s">
        <v>236</v>
      </c>
      <c r="C126" s="9" t="s">
        <v>235</v>
      </c>
      <c r="D126" s="102">
        <v>0</v>
      </c>
      <c r="E126" s="102">
        <v>0</v>
      </c>
      <c r="F126" s="102">
        <f>D126-E126</f>
        <v>0</v>
      </c>
    </row>
    <row r="127" spans="1:6" ht="12" customHeight="1" x14ac:dyDescent="0.25">
      <c r="A127" s="96">
        <v>212061995</v>
      </c>
      <c r="B127" s="96" t="s">
        <v>234</v>
      </c>
      <c r="C127" s="9" t="s">
        <v>233</v>
      </c>
      <c r="D127" s="102">
        <v>0</v>
      </c>
      <c r="E127" s="102">
        <v>0</v>
      </c>
      <c r="F127" s="102">
        <f t="shared" si="4"/>
        <v>0</v>
      </c>
    </row>
    <row r="128" spans="1:6" ht="12" customHeight="1" x14ac:dyDescent="0.25">
      <c r="A128" s="96">
        <v>212066995</v>
      </c>
      <c r="B128" s="96" t="s">
        <v>232</v>
      </c>
      <c r="C128" s="9" t="s">
        <v>228</v>
      </c>
      <c r="D128" s="102">
        <v>0</v>
      </c>
      <c r="E128" s="102">
        <v>0</v>
      </c>
      <c r="F128" s="102">
        <f>D128-E128</f>
        <v>0</v>
      </c>
    </row>
    <row r="129" spans="1:6" ht="12" customHeight="1" x14ac:dyDescent="0.25">
      <c r="A129" s="96">
        <v>212067995</v>
      </c>
      <c r="B129" s="96" t="s">
        <v>231</v>
      </c>
      <c r="C129" s="9" t="s">
        <v>228</v>
      </c>
      <c r="D129" s="102">
        <v>0</v>
      </c>
      <c r="E129" s="102">
        <v>0</v>
      </c>
      <c r="F129" s="102">
        <f t="shared" si="4"/>
        <v>0</v>
      </c>
    </row>
    <row r="130" spans="1:6" ht="12" customHeight="1" x14ac:dyDescent="0.25">
      <c r="A130" s="96">
        <v>212068995</v>
      </c>
      <c r="B130" s="96" t="s">
        <v>230</v>
      </c>
      <c r="C130" s="9" t="s">
        <v>228</v>
      </c>
      <c r="D130" s="102">
        <v>0</v>
      </c>
      <c r="E130" s="102">
        <v>0</v>
      </c>
      <c r="F130" s="102">
        <f t="shared" si="4"/>
        <v>0</v>
      </c>
    </row>
    <row r="131" spans="1:6" ht="12" customHeight="1" x14ac:dyDescent="0.25">
      <c r="A131" s="96">
        <v>212069995</v>
      </c>
      <c r="B131" s="96" t="s">
        <v>229</v>
      </c>
      <c r="C131" s="9" t="s">
        <v>228</v>
      </c>
      <c r="D131" s="102">
        <v>0</v>
      </c>
      <c r="E131" s="102">
        <v>0</v>
      </c>
      <c r="F131" s="102">
        <f t="shared" si="4"/>
        <v>0</v>
      </c>
    </row>
    <row r="132" spans="1:6" ht="12" customHeight="1" x14ac:dyDescent="0.25">
      <c r="A132" s="96">
        <v>212071995</v>
      </c>
      <c r="B132" s="96" t="s">
        <v>227</v>
      </c>
      <c r="C132" s="9" t="s">
        <v>218</v>
      </c>
      <c r="D132" s="102">
        <v>0</v>
      </c>
      <c r="E132" s="102">
        <v>0</v>
      </c>
      <c r="F132" s="102">
        <f t="shared" si="4"/>
        <v>0</v>
      </c>
    </row>
    <row r="133" spans="1:6" ht="12" customHeight="1" x14ac:dyDescent="0.25">
      <c r="A133" s="96">
        <v>212072995</v>
      </c>
      <c r="B133" s="96" t="s">
        <v>226</v>
      </c>
      <c r="C133" s="9" t="s">
        <v>218</v>
      </c>
      <c r="D133" s="102">
        <v>0</v>
      </c>
      <c r="E133" s="102">
        <v>0</v>
      </c>
      <c r="F133" s="102">
        <f t="shared" si="4"/>
        <v>0</v>
      </c>
    </row>
    <row r="134" spans="1:6" ht="12" customHeight="1" x14ac:dyDescent="0.25">
      <c r="A134" s="96">
        <v>212076995</v>
      </c>
      <c r="B134" s="96" t="s">
        <v>225</v>
      </c>
      <c r="C134" s="9" t="s">
        <v>224</v>
      </c>
      <c r="D134" s="102">
        <v>0</v>
      </c>
      <c r="E134" s="102">
        <v>0</v>
      </c>
      <c r="F134" s="102">
        <f>D134-E134</f>
        <v>0</v>
      </c>
    </row>
    <row r="135" spans="1:6" ht="12" customHeight="1" x14ac:dyDescent="0.25">
      <c r="A135" s="96">
        <v>212077995</v>
      </c>
      <c r="B135" s="96" t="s">
        <v>223</v>
      </c>
      <c r="C135" s="9" t="s">
        <v>222</v>
      </c>
      <c r="D135" s="102">
        <v>0</v>
      </c>
      <c r="E135" s="102">
        <v>0</v>
      </c>
      <c r="F135" s="102">
        <f t="shared" si="4"/>
        <v>0</v>
      </c>
    </row>
    <row r="136" spans="1:6" ht="12" customHeight="1" x14ac:dyDescent="0.25">
      <c r="A136" s="96">
        <v>212078995</v>
      </c>
      <c r="B136" s="96" t="s">
        <v>221</v>
      </c>
      <c r="C136" s="9" t="s">
        <v>220</v>
      </c>
      <c r="D136" s="102">
        <v>0</v>
      </c>
      <c r="E136" s="102">
        <v>0</v>
      </c>
      <c r="F136" s="102">
        <f t="shared" si="4"/>
        <v>0</v>
      </c>
    </row>
    <row r="137" spans="1:6" ht="12" customHeight="1" x14ac:dyDescent="0.25">
      <c r="A137" s="96">
        <v>212079995</v>
      </c>
      <c r="B137" s="96" t="s">
        <v>219</v>
      </c>
      <c r="C137" s="9" t="s">
        <v>218</v>
      </c>
      <c r="D137" s="102">
        <v>0</v>
      </c>
      <c r="E137" s="102">
        <v>0</v>
      </c>
      <c r="F137" s="102">
        <f>D137-E137</f>
        <v>0</v>
      </c>
    </row>
    <row r="138" spans="1:6" ht="12" customHeight="1" x14ac:dyDescent="0.25">
      <c r="A138" s="96">
        <v>212091995</v>
      </c>
      <c r="B138" s="96" t="s">
        <v>217</v>
      </c>
      <c r="C138" s="9" t="s">
        <v>216</v>
      </c>
      <c r="D138" s="102">
        <v>0</v>
      </c>
      <c r="E138" s="102">
        <v>0</v>
      </c>
      <c r="F138" s="102">
        <f t="shared" si="4"/>
        <v>0</v>
      </c>
    </row>
    <row r="139" spans="1:6" ht="12" customHeight="1" x14ac:dyDescent="0.25">
      <c r="A139" s="96">
        <v>212096995</v>
      </c>
      <c r="B139" s="96" t="s">
        <v>215</v>
      </c>
      <c r="C139" s="9" t="s">
        <v>214</v>
      </c>
      <c r="D139" s="102">
        <v>0</v>
      </c>
      <c r="E139" s="102">
        <v>0</v>
      </c>
      <c r="F139" s="102">
        <f t="shared" si="4"/>
        <v>0</v>
      </c>
    </row>
    <row r="140" spans="1:6" ht="12" customHeight="1" x14ac:dyDescent="0.25">
      <c r="A140" s="96">
        <v>212097995</v>
      </c>
      <c r="B140" s="96" t="s">
        <v>213</v>
      </c>
      <c r="C140" s="9" t="s">
        <v>212</v>
      </c>
      <c r="D140" s="102">
        <v>0</v>
      </c>
      <c r="E140" s="102">
        <v>0</v>
      </c>
      <c r="F140" s="102">
        <f t="shared" si="4"/>
        <v>0</v>
      </c>
    </row>
    <row r="141" spans="1:6" ht="12" customHeight="1" x14ac:dyDescent="0.25">
      <c r="A141" s="96">
        <v>212098995</v>
      </c>
      <c r="B141" s="96" t="s">
        <v>211</v>
      </c>
      <c r="C141" s="9" t="s">
        <v>209</v>
      </c>
      <c r="D141" s="102">
        <v>0</v>
      </c>
      <c r="E141" s="102">
        <v>0</v>
      </c>
      <c r="F141" s="102">
        <f t="shared" si="4"/>
        <v>0</v>
      </c>
    </row>
    <row r="142" spans="1:6" ht="12" customHeight="1" x14ac:dyDescent="0.25">
      <c r="A142" s="96">
        <v>212099995</v>
      </c>
      <c r="B142" s="96" t="s">
        <v>210</v>
      </c>
      <c r="C142" s="9" t="s">
        <v>209</v>
      </c>
      <c r="D142" s="102">
        <v>0</v>
      </c>
      <c r="E142" s="102">
        <v>0</v>
      </c>
      <c r="F142" s="102">
        <f t="shared" si="4"/>
        <v>0</v>
      </c>
    </row>
    <row r="143" spans="1:6" ht="12" customHeight="1" x14ac:dyDescent="0.25">
      <c r="A143" s="9"/>
      <c r="B143" s="9" t="s">
        <v>12</v>
      </c>
      <c r="C143" s="103" t="s">
        <v>127</v>
      </c>
      <c r="D143" s="102">
        <f>SUM(D25:D142)</f>
        <v>0</v>
      </c>
      <c r="E143" s="102">
        <f>SUM(E25:E142)</f>
        <v>0</v>
      </c>
      <c r="F143" s="102">
        <f>SUM(F25:F142)</f>
        <v>0</v>
      </c>
    </row>
    <row r="144" spans="1:6" ht="12" customHeight="1" x14ac:dyDescent="0.25">
      <c r="A144" s="9"/>
      <c r="B144" s="9" t="s">
        <v>26</v>
      </c>
      <c r="C144" s="9"/>
      <c r="D144" s="102"/>
      <c r="E144" s="102"/>
      <c r="F144" s="102"/>
    </row>
    <row r="145" spans="1:6" ht="12" customHeight="1" x14ac:dyDescent="0.25">
      <c r="A145" s="99" t="s">
        <v>208</v>
      </c>
      <c r="B145" s="9"/>
      <c r="C145" s="9"/>
      <c r="D145" s="102"/>
      <c r="E145" s="102"/>
      <c r="F145" s="102"/>
    </row>
    <row r="146" spans="1:6" ht="12" customHeight="1" x14ac:dyDescent="0.25">
      <c r="A146" s="96">
        <v>212051069</v>
      </c>
      <c r="B146" s="9" t="s">
        <v>207</v>
      </c>
      <c r="C146" s="9" t="s">
        <v>206</v>
      </c>
      <c r="D146" s="102">
        <v>0</v>
      </c>
      <c r="E146" s="102">
        <v>0</v>
      </c>
      <c r="F146" s="102">
        <f>D146-E146</f>
        <v>0</v>
      </c>
    </row>
    <row r="147" spans="1:6" ht="12" customHeight="1" x14ac:dyDescent="0.25">
      <c r="A147" s="96">
        <v>212053001</v>
      </c>
      <c r="B147" s="9" t="s">
        <v>205</v>
      </c>
      <c r="C147" s="9" t="s">
        <v>204</v>
      </c>
      <c r="D147" s="102">
        <v>0</v>
      </c>
      <c r="E147" s="102">
        <v>0</v>
      </c>
      <c r="F147" s="102">
        <f>D147-E147</f>
        <v>0</v>
      </c>
    </row>
    <row r="148" spans="1:6" ht="12" customHeight="1" x14ac:dyDescent="0.25">
      <c r="A148" s="96">
        <v>212053002</v>
      </c>
      <c r="B148" s="9" t="s">
        <v>203</v>
      </c>
      <c r="C148" s="9" t="s">
        <v>202</v>
      </c>
      <c r="D148" s="102">
        <v>0</v>
      </c>
      <c r="E148" s="102">
        <v>0</v>
      </c>
      <c r="F148" s="102">
        <f>D148-E148</f>
        <v>0</v>
      </c>
    </row>
    <row r="149" spans="1:6" ht="12" customHeight="1" x14ac:dyDescent="0.25">
      <c r="A149" s="96">
        <v>212091006</v>
      </c>
      <c r="B149" s="9" t="s">
        <v>201</v>
      </c>
      <c r="C149" s="9" t="s">
        <v>200</v>
      </c>
      <c r="D149" s="102">
        <v>0</v>
      </c>
      <c r="E149" s="102">
        <v>0</v>
      </c>
      <c r="F149" s="102">
        <f>D149-E149</f>
        <v>0</v>
      </c>
    </row>
    <row r="150" spans="1:6" ht="12" customHeight="1" x14ac:dyDescent="0.25">
      <c r="A150" s="96">
        <v>212096006</v>
      </c>
      <c r="C150" s="9" t="s">
        <v>467</v>
      </c>
      <c r="D150" s="102">
        <v>0</v>
      </c>
      <c r="E150" s="102">
        <v>0</v>
      </c>
      <c r="F150" s="102">
        <f t="shared" ref="F150:F152" si="5">D150-E150</f>
        <v>0</v>
      </c>
    </row>
    <row r="151" spans="1:6" ht="12" customHeight="1" x14ac:dyDescent="0.25">
      <c r="A151" s="96">
        <v>212091010</v>
      </c>
      <c r="B151" s="9" t="s">
        <v>199</v>
      </c>
      <c r="C151" s="9" t="s">
        <v>198</v>
      </c>
      <c r="D151" s="102">
        <v>0</v>
      </c>
      <c r="E151" s="102">
        <v>0</v>
      </c>
      <c r="F151" s="102">
        <f t="shared" si="5"/>
        <v>0</v>
      </c>
    </row>
    <row r="152" spans="1:6" ht="12" customHeight="1" x14ac:dyDescent="0.25">
      <c r="A152" s="153">
        <v>212053004</v>
      </c>
      <c r="B152" s="156"/>
      <c r="C152" s="156" t="s">
        <v>468</v>
      </c>
      <c r="D152" s="102">
        <v>0</v>
      </c>
      <c r="E152" s="102">
        <v>0</v>
      </c>
      <c r="F152" s="102">
        <f t="shared" si="5"/>
        <v>0</v>
      </c>
    </row>
    <row r="153" spans="1:6" ht="12" customHeight="1" x14ac:dyDescent="0.25">
      <c r="A153" s="9"/>
      <c r="B153" s="9" t="s">
        <v>12</v>
      </c>
      <c r="C153" s="103" t="s">
        <v>127</v>
      </c>
      <c r="D153" s="102"/>
      <c r="E153" s="102">
        <f>SUM(E146:E152)</f>
        <v>0</v>
      </c>
      <c r="F153" s="102">
        <f>SUM(F146:F152)</f>
        <v>0</v>
      </c>
    </row>
    <row r="154" spans="1:6" ht="12" customHeight="1" x14ac:dyDescent="0.25">
      <c r="A154" s="9"/>
      <c r="B154" s="9" t="s">
        <v>26</v>
      </c>
      <c r="C154" s="9"/>
      <c r="D154" s="102"/>
      <c r="E154" s="102"/>
      <c r="F154" s="102"/>
    </row>
    <row r="155" spans="1:6" ht="12" customHeight="1" x14ac:dyDescent="0.25">
      <c r="A155" s="99" t="s">
        <v>197</v>
      </c>
      <c r="B155" s="9"/>
      <c r="C155" s="9"/>
      <c r="D155" s="102"/>
      <c r="E155" s="102"/>
      <c r="F155" s="102"/>
    </row>
    <row r="156" spans="1:6" ht="12" customHeight="1" x14ac:dyDescent="0.25">
      <c r="A156" s="96">
        <v>114011303</v>
      </c>
      <c r="B156" s="9" t="s">
        <v>196</v>
      </c>
      <c r="C156" s="9" t="s">
        <v>195</v>
      </c>
      <c r="D156" s="102">
        <v>0</v>
      </c>
      <c r="E156" s="102">
        <v>0</v>
      </c>
      <c r="F156" s="102">
        <f>D156-E156</f>
        <v>0</v>
      </c>
    </row>
    <row r="157" spans="1:6" ht="12" customHeight="1" x14ac:dyDescent="0.25">
      <c r="A157" s="9"/>
      <c r="B157" s="9" t="s">
        <v>12</v>
      </c>
      <c r="C157" s="103" t="s">
        <v>127</v>
      </c>
      <c r="D157" s="102"/>
      <c r="E157" s="102">
        <f>SUM(E156:E156)</f>
        <v>0</v>
      </c>
      <c r="F157" s="102">
        <f>SUM(F156:F156)</f>
        <v>0</v>
      </c>
    </row>
    <row r="158" spans="1:6" ht="12" customHeight="1" x14ac:dyDescent="0.25">
      <c r="A158" s="9"/>
      <c r="B158" s="9" t="s">
        <v>26</v>
      </c>
      <c r="C158" s="9"/>
      <c r="D158" s="102"/>
      <c r="E158" s="102"/>
      <c r="F158" s="102"/>
    </row>
    <row r="159" spans="1:6" ht="12" customHeight="1" x14ac:dyDescent="0.25">
      <c r="A159" s="99" t="s">
        <v>194</v>
      </c>
      <c r="B159" s="9"/>
      <c r="C159" s="9"/>
      <c r="D159" s="102"/>
      <c r="E159" s="102"/>
      <c r="F159" s="102"/>
    </row>
    <row r="160" spans="1:6" ht="12" customHeight="1" x14ac:dyDescent="0.25">
      <c r="A160" s="96">
        <v>212093001</v>
      </c>
      <c r="B160" s="9" t="s">
        <v>193</v>
      </c>
      <c r="C160" s="9" t="s">
        <v>189</v>
      </c>
      <c r="D160" s="102">
        <v>0</v>
      </c>
      <c r="E160" s="102">
        <v>0</v>
      </c>
      <c r="F160" s="102">
        <f>D160-E160</f>
        <v>0</v>
      </c>
    </row>
    <row r="161" spans="1:6" ht="12" customHeight="1" x14ac:dyDescent="0.25">
      <c r="A161" s="96">
        <v>212093101</v>
      </c>
      <c r="B161" s="9" t="s">
        <v>192</v>
      </c>
      <c r="C161" s="9" t="s">
        <v>189</v>
      </c>
      <c r="D161" s="102">
        <v>0</v>
      </c>
      <c r="E161" s="102">
        <v>0</v>
      </c>
      <c r="F161" s="102">
        <f>D161-E161</f>
        <v>0</v>
      </c>
    </row>
    <row r="162" spans="1:6" ht="12" customHeight="1" x14ac:dyDescent="0.25">
      <c r="A162" s="96">
        <v>212093201</v>
      </c>
      <c r="B162" s="9" t="s">
        <v>191</v>
      </c>
      <c r="C162" s="9" t="s">
        <v>189</v>
      </c>
      <c r="D162" s="102">
        <v>0</v>
      </c>
      <c r="E162" s="102">
        <v>0</v>
      </c>
      <c r="F162" s="102">
        <f>D162-E162</f>
        <v>0</v>
      </c>
    </row>
    <row r="163" spans="1:6" ht="12" customHeight="1" x14ac:dyDescent="0.25">
      <c r="A163" s="96">
        <v>212093301</v>
      </c>
      <c r="B163" s="9" t="s">
        <v>190</v>
      </c>
      <c r="C163" s="9" t="s">
        <v>189</v>
      </c>
      <c r="D163" s="102">
        <v>0</v>
      </c>
      <c r="E163" s="102">
        <v>0</v>
      </c>
      <c r="F163" s="102">
        <f>D163-E163</f>
        <v>0</v>
      </c>
    </row>
    <row r="164" spans="1:6" ht="12" customHeight="1" x14ac:dyDescent="0.25">
      <c r="A164" s="96">
        <v>212097001</v>
      </c>
      <c r="B164" s="96" t="s">
        <v>188</v>
      </c>
      <c r="C164" s="9" t="s">
        <v>187</v>
      </c>
      <c r="D164" s="102">
        <v>0</v>
      </c>
      <c r="E164" s="102">
        <v>0</v>
      </c>
      <c r="F164" s="102">
        <f>D164-E164</f>
        <v>0</v>
      </c>
    </row>
    <row r="165" spans="1:6" ht="12" customHeight="1" x14ac:dyDescent="0.25">
      <c r="A165" s="9"/>
      <c r="B165" s="9" t="s">
        <v>12</v>
      </c>
      <c r="C165" s="103" t="s">
        <v>127</v>
      </c>
      <c r="D165" s="102"/>
      <c r="E165" s="102">
        <f>SUM(E160:E164)</f>
        <v>0</v>
      </c>
      <c r="F165" s="102">
        <f>SUM(F160:F164)</f>
        <v>0</v>
      </c>
    </row>
    <row r="166" spans="1:6" ht="11.25" customHeight="1" x14ac:dyDescent="0.25">
      <c r="A166" s="9"/>
      <c r="B166" s="9" t="s">
        <v>26</v>
      </c>
      <c r="C166" s="9"/>
      <c r="D166" s="102"/>
      <c r="E166" s="102"/>
      <c r="F166" s="102"/>
    </row>
    <row r="167" spans="1:6" ht="11.25" customHeight="1" x14ac:dyDescent="0.25">
      <c r="A167" s="99" t="s">
        <v>186</v>
      </c>
      <c r="B167" s="9"/>
      <c r="C167" s="9"/>
      <c r="D167" s="102"/>
      <c r="E167" s="102"/>
      <c r="F167" s="102"/>
    </row>
    <row r="168" spans="1:6" ht="15" customHeight="1" x14ac:dyDescent="0.25">
      <c r="A168" s="96">
        <v>212093002</v>
      </c>
      <c r="B168" s="9" t="s">
        <v>185</v>
      </c>
      <c r="C168" s="9" t="s">
        <v>181</v>
      </c>
      <c r="D168" s="102">
        <v>0</v>
      </c>
      <c r="E168" s="102">
        <v>0</v>
      </c>
      <c r="F168" s="102">
        <f>D168-E168</f>
        <v>0</v>
      </c>
    </row>
    <row r="169" spans="1:6" ht="15" customHeight="1" x14ac:dyDescent="0.25">
      <c r="A169" s="96">
        <v>212093102</v>
      </c>
      <c r="B169" s="9" t="s">
        <v>184</v>
      </c>
      <c r="C169" s="9" t="s">
        <v>181</v>
      </c>
      <c r="D169" s="102">
        <v>0</v>
      </c>
      <c r="E169" s="102">
        <v>0</v>
      </c>
      <c r="F169" s="102">
        <f>D169-E169</f>
        <v>0</v>
      </c>
    </row>
    <row r="170" spans="1:6" ht="15" customHeight="1" x14ac:dyDescent="0.25">
      <c r="A170" s="96">
        <v>212093202</v>
      </c>
      <c r="B170" s="9" t="s">
        <v>183</v>
      </c>
      <c r="C170" s="9" t="s">
        <v>181</v>
      </c>
      <c r="D170" s="102">
        <v>0</v>
      </c>
      <c r="E170" s="102">
        <v>0</v>
      </c>
      <c r="F170" s="102">
        <f>D170-E170</f>
        <v>0</v>
      </c>
    </row>
    <row r="171" spans="1:6" ht="15" customHeight="1" x14ac:dyDescent="0.25">
      <c r="A171" s="96">
        <v>212093302</v>
      </c>
      <c r="B171" s="9" t="s">
        <v>182</v>
      </c>
      <c r="C171" s="9" t="s">
        <v>181</v>
      </c>
      <c r="D171" s="102">
        <v>0</v>
      </c>
      <c r="E171" s="102">
        <v>0</v>
      </c>
      <c r="F171" s="102">
        <f>D171-E171</f>
        <v>0</v>
      </c>
    </row>
    <row r="172" spans="1:6" ht="15" customHeight="1" x14ac:dyDescent="0.25">
      <c r="A172" s="96">
        <v>212097002</v>
      </c>
      <c r="B172" s="96" t="s">
        <v>180</v>
      </c>
      <c r="C172" s="9" t="s">
        <v>179</v>
      </c>
      <c r="D172" s="102">
        <v>0</v>
      </c>
      <c r="E172" s="102">
        <v>0</v>
      </c>
      <c r="F172" s="102">
        <f>D172-E172</f>
        <v>0</v>
      </c>
    </row>
    <row r="173" spans="1:6" ht="11.25" customHeight="1" x14ac:dyDescent="0.25">
      <c r="A173" s="104"/>
      <c r="B173" s="9" t="s">
        <v>12</v>
      </c>
      <c r="C173" s="103" t="s">
        <v>127</v>
      </c>
      <c r="D173" s="102"/>
      <c r="E173" s="102">
        <f>SUM(E168:E172)</f>
        <v>0</v>
      </c>
      <c r="F173" s="102">
        <f>SUM(F168:F172)</f>
        <v>0</v>
      </c>
    </row>
    <row r="174" spans="1:6" ht="12" customHeight="1" x14ac:dyDescent="0.25">
      <c r="A174" s="9"/>
      <c r="B174" s="9" t="s">
        <v>26</v>
      </c>
      <c r="C174" s="9"/>
      <c r="D174" s="102"/>
      <c r="E174" s="102"/>
      <c r="F174" s="102"/>
    </row>
    <row r="175" spans="1:6" ht="12" customHeight="1" x14ac:dyDescent="0.25">
      <c r="A175" s="158" t="s">
        <v>178</v>
      </c>
      <c r="B175" s="9"/>
      <c r="C175" s="9"/>
      <c r="D175" s="102"/>
      <c r="E175" s="102"/>
      <c r="F175" s="102"/>
    </row>
    <row r="176" spans="1:6" ht="12" customHeight="1" x14ac:dyDescent="0.25">
      <c r="A176" s="96">
        <v>711091998</v>
      </c>
      <c r="B176" s="9"/>
      <c r="C176" s="115" t="s">
        <v>4</v>
      </c>
      <c r="D176" s="102"/>
      <c r="E176" s="116">
        <v>0</v>
      </c>
      <c r="F176" s="116">
        <v>0</v>
      </c>
    </row>
    <row r="177" spans="1:6" ht="12" customHeight="1" x14ac:dyDescent="0.25">
      <c r="A177" s="96">
        <v>711093998</v>
      </c>
      <c r="B177" s="9" t="s">
        <v>450</v>
      </c>
      <c r="C177" s="115" t="s">
        <v>451</v>
      </c>
      <c r="D177" s="102"/>
      <c r="E177" s="116">
        <v>0</v>
      </c>
      <c r="F177" s="116">
        <v>0</v>
      </c>
    </row>
    <row r="178" spans="1:6" ht="12" customHeight="1" x14ac:dyDescent="0.25">
      <c r="A178" s="96">
        <v>712011998</v>
      </c>
      <c r="B178" s="115" t="s">
        <v>177</v>
      </c>
      <c r="C178" s="115" t="s">
        <v>176</v>
      </c>
      <c r="D178" s="102"/>
      <c r="E178" s="116">
        <v>0</v>
      </c>
      <c r="F178" s="116">
        <v>0</v>
      </c>
    </row>
    <row r="179" spans="1:6" ht="12" customHeight="1" x14ac:dyDescent="0.25">
      <c r="A179" s="96">
        <v>713041998</v>
      </c>
      <c r="B179" s="115" t="s">
        <v>175</v>
      </c>
      <c r="C179" s="115" t="s">
        <v>174</v>
      </c>
      <c r="D179" s="102"/>
      <c r="E179" s="116">
        <v>0</v>
      </c>
      <c r="F179" s="116">
        <v>0</v>
      </c>
    </row>
    <row r="180" spans="1:6" ht="12" customHeight="1" x14ac:dyDescent="0.25">
      <c r="A180" s="96">
        <v>713042998</v>
      </c>
      <c r="B180" s="155" t="s">
        <v>452</v>
      </c>
      <c r="C180" s="115" t="s">
        <v>453</v>
      </c>
      <c r="D180" s="102"/>
      <c r="E180" s="116">
        <v>0</v>
      </c>
      <c r="F180" s="116">
        <v>0</v>
      </c>
    </row>
    <row r="181" spans="1:6" ht="12" customHeight="1" x14ac:dyDescent="0.25">
      <c r="A181" s="96">
        <v>713043998</v>
      </c>
      <c r="B181" s="155"/>
      <c r="C181" s="115" t="s">
        <v>454</v>
      </c>
      <c r="D181" s="102"/>
      <c r="E181" s="116">
        <v>0</v>
      </c>
      <c r="F181" s="116">
        <v>0</v>
      </c>
    </row>
    <row r="182" spans="1:6" ht="12" customHeight="1" x14ac:dyDescent="0.25">
      <c r="A182" s="96">
        <v>713051998</v>
      </c>
      <c r="B182" s="115"/>
      <c r="C182" s="115" t="s">
        <v>423</v>
      </c>
      <c r="D182" s="102"/>
      <c r="E182" s="116">
        <v>0</v>
      </c>
      <c r="F182" s="116">
        <v>0</v>
      </c>
    </row>
    <row r="183" spans="1:6" ht="12" customHeight="1" x14ac:dyDescent="0.25">
      <c r="A183" s="96">
        <v>713061998</v>
      </c>
      <c r="B183" s="115" t="s">
        <v>173</v>
      </c>
      <c r="C183" s="115" t="s">
        <v>172</v>
      </c>
      <c r="D183" s="9"/>
      <c r="E183" s="116">
        <v>0</v>
      </c>
      <c r="F183" s="116">
        <v>0</v>
      </c>
    </row>
    <row r="184" spans="1:6" ht="12" customHeight="1" x14ac:dyDescent="0.25">
      <c r="A184" s="96">
        <v>713101998</v>
      </c>
      <c r="B184" s="115" t="s">
        <v>171</v>
      </c>
      <c r="C184" s="115" t="s">
        <v>170</v>
      </c>
      <c r="D184" s="9"/>
      <c r="E184" s="116">
        <v>0</v>
      </c>
      <c r="F184" s="116">
        <v>0</v>
      </c>
    </row>
    <row r="185" spans="1:6" ht="12" customHeight="1" x14ac:dyDescent="0.25">
      <c r="A185" s="96">
        <v>713111998</v>
      </c>
      <c r="B185" s="115" t="s">
        <v>169</v>
      </c>
      <c r="C185" s="115" t="s">
        <v>168</v>
      </c>
      <c r="D185" s="102"/>
      <c r="E185" s="116">
        <v>0</v>
      </c>
      <c r="F185" s="116">
        <v>0</v>
      </c>
    </row>
    <row r="186" spans="1:6" ht="12" customHeight="1" x14ac:dyDescent="0.25">
      <c r="A186" s="154">
        <v>713143998</v>
      </c>
      <c r="B186" s="155" t="s">
        <v>455</v>
      </c>
      <c r="C186" s="155" t="s">
        <v>456</v>
      </c>
      <c r="D186" s="102"/>
      <c r="E186" s="116">
        <v>0</v>
      </c>
      <c r="F186" s="116">
        <v>0</v>
      </c>
    </row>
    <row r="187" spans="1:6" ht="12" customHeight="1" x14ac:dyDescent="0.25">
      <c r="A187" s="96">
        <v>713181998</v>
      </c>
      <c r="B187" s="115" t="s">
        <v>167</v>
      </c>
      <c r="C187" s="115" t="s">
        <v>166</v>
      </c>
      <c r="D187" s="102"/>
      <c r="E187" s="116">
        <v>0</v>
      </c>
      <c r="F187" s="116">
        <v>0</v>
      </c>
    </row>
    <row r="188" spans="1:6" ht="12" customHeight="1" x14ac:dyDescent="0.25">
      <c r="A188" s="154">
        <v>713211998</v>
      </c>
      <c r="B188" s="155" t="s">
        <v>457</v>
      </c>
      <c r="C188" s="155" t="s">
        <v>458</v>
      </c>
      <c r="D188" s="102"/>
      <c r="E188" s="116">
        <v>0</v>
      </c>
      <c r="F188" s="116">
        <v>0</v>
      </c>
    </row>
    <row r="189" spans="1:6" ht="12" customHeight="1" x14ac:dyDescent="0.25">
      <c r="A189" s="96">
        <v>713241998</v>
      </c>
      <c r="B189" s="115" t="s">
        <v>165</v>
      </c>
      <c r="C189" s="115" t="s">
        <v>164</v>
      </c>
      <c r="D189" s="102"/>
      <c r="E189" s="116">
        <v>0</v>
      </c>
      <c r="F189" s="116">
        <v>0</v>
      </c>
    </row>
    <row r="190" spans="1:6" ht="12" customHeight="1" x14ac:dyDescent="0.25">
      <c r="A190" s="154">
        <v>713261998</v>
      </c>
      <c r="B190" s="155" t="s">
        <v>459</v>
      </c>
      <c r="C190" s="155" t="s">
        <v>460</v>
      </c>
      <c r="D190" s="102"/>
      <c r="E190" s="116">
        <v>0</v>
      </c>
      <c r="F190" s="116">
        <v>0</v>
      </c>
    </row>
    <row r="191" spans="1:6" ht="12" customHeight="1" x14ac:dyDescent="0.25">
      <c r="A191" s="96">
        <v>713271998</v>
      </c>
      <c r="B191" s="115"/>
      <c r="C191" s="117" t="s">
        <v>424</v>
      </c>
      <c r="D191" s="102"/>
      <c r="E191" s="116">
        <v>0</v>
      </c>
      <c r="F191" s="116">
        <v>0</v>
      </c>
    </row>
    <row r="192" spans="1:6" ht="12" customHeight="1" x14ac:dyDescent="0.25">
      <c r="A192" s="96">
        <v>713291998</v>
      </c>
      <c r="B192" s="115" t="s">
        <v>163</v>
      </c>
      <c r="C192" s="115" t="s">
        <v>162</v>
      </c>
      <c r="D192" s="102"/>
      <c r="E192" s="116">
        <v>0</v>
      </c>
      <c r="F192" s="116">
        <v>0</v>
      </c>
    </row>
    <row r="193" spans="1:6" ht="12" customHeight="1" x14ac:dyDescent="0.25">
      <c r="A193" s="96">
        <v>713301998</v>
      </c>
      <c r="B193" s="115" t="s">
        <v>161</v>
      </c>
      <c r="C193" s="115" t="s">
        <v>160</v>
      </c>
      <c r="D193" s="102"/>
      <c r="E193" s="116">
        <v>0</v>
      </c>
      <c r="F193" s="116">
        <v>0</v>
      </c>
    </row>
    <row r="194" spans="1:6" ht="12" customHeight="1" x14ac:dyDescent="0.25">
      <c r="A194" s="96">
        <v>713311998</v>
      </c>
      <c r="B194" s="115" t="s">
        <v>159</v>
      </c>
      <c r="C194" s="115" t="s">
        <v>158</v>
      </c>
      <c r="D194" s="102"/>
      <c r="E194" s="116">
        <v>0</v>
      </c>
      <c r="F194" s="116">
        <v>0</v>
      </c>
    </row>
    <row r="195" spans="1:6" ht="12" customHeight="1" x14ac:dyDescent="0.25">
      <c r="A195" s="96">
        <v>713331998</v>
      </c>
      <c r="B195" s="115" t="s">
        <v>157</v>
      </c>
      <c r="C195" s="115" t="s">
        <v>156</v>
      </c>
      <c r="D195" s="102"/>
      <c r="E195" s="116">
        <v>0</v>
      </c>
      <c r="F195" s="116">
        <v>0</v>
      </c>
    </row>
    <row r="196" spans="1:6" ht="12" customHeight="1" x14ac:dyDescent="0.25">
      <c r="A196" s="154">
        <v>713341998</v>
      </c>
      <c r="B196" s="155" t="s">
        <v>461</v>
      </c>
      <c r="C196" s="155" t="s">
        <v>462</v>
      </c>
      <c r="D196" s="102"/>
      <c r="E196" s="116">
        <v>0</v>
      </c>
      <c r="F196" s="116">
        <v>0</v>
      </c>
    </row>
    <row r="197" spans="1:6" ht="12" customHeight="1" x14ac:dyDescent="0.25">
      <c r="A197" s="96">
        <v>713351998</v>
      </c>
      <c r="B197" s="115" t="s">
        <v>155</v>
      </c>
      <c r="C197" s="115" t="s">
        <v>154</v>
      </c>
      <c r="D197" s="102"/>
      <c r="E197" s="116">
        <v>0</v>
      </c>
      <c r="F197" s="116">
        <v>0</v>
      </c>
    </row>
    <row r="198" spans="1:6" ht="12" customHeight="1" x14ac:dyDescent="0.25">
      <c r="A198" s="96">
        <v>713371998</v>
      </c>
      <c r="B198" s="115" t="s">
        <v>153</v>
      </c>
      <c r="C198" s="115" t="s">
        <v>152</v>
      </c>
      <c r="D198" s="102"/>
      <c r="E198" s="116">
        <v>0</v>
      </c>
      <c r="F198" s="116">
        <v>0</v>
      </c>
    </row>
    <row r="199" spans="1:6" ht="12" customHeight="1" x14ac:dyDescent="0.25">
      <c r="A199" s="154">
        <v>713411998</v>
      </c>
      <c r="B199" s="155" t="s">
        <v>463</v>
      </c>
      <c r="C199" s="155" t="s">
        <v>464</v>
      </c>
      <c r="D199" s="102"/>
      <c r="E199" s="116">
        <v>0</v>
      </c>
      <c r="F199" s="116">
        <v>0</v>
      </c>
    </row>
    <row r="200" spans="1:6" ht="12" customHeight="1" x14ac:dyDescent="0.25">
      <c r="A200" s="96">
        <v>713431998</v>
      </c>
      <c r="B200" s="115" t="s">
        <v>151</v>
      </c>
      <c r="C200" s="115" t="s">
        <v>150</v>
      </c>
      <c r="D200" s="102"/>
      <c r="E200" s="116">
        <v>0</v>
      </c>
      <c r="F200" s="116">
        <v>0</v>
      </c>
    </row>
    <row r="201" spans="1:6" ht="12" customHeight="1" x14ac:dyDescent="0.25">
      <c r="A201" s="96">
        <v>713441998</v>
      </c>
      <c r="B201" s="115" t="s">
        <v>149</v>
      </c>
      <c r="C201" s="115" t="s">
        <v>148</v>
      </c>
      <c r="D201" s="102"/>
      <c r="E201" s="116">
        <v>0</v>
      </c>
      <c r="F201" s="116">
        <v>0</v>
      </c>
    </row>
    <row r="202" spans="1:6" ht="12" customHeight="1" x14ac:dyDescent="0.25">
      <c r="A202" s="96">
        <v>713481998</v>
      </c>
      <c r="B202" s="115"/>
      <c r="C202" s="115" t="s">
        <v>5</v>
      </c>
      <c r="D202" s="102"/>
      <c r="E202" s="116">
        <v>0</v>
      </c>
      <c r="F202" s="116">
        <v>0</v>
      </c>
    </row>
    <row r="203" spans="1:6" ht="12" customHeight="1" x14ac:dyDescent="0.25">
      <c r="A203" s="96">
        <v>713501998</v>
      </c>
      <c r="B203" s="115" t="s">
        <v>147</v>
      </c>
      <c r="C203" s="115" t="s">
        <v>146</v>
      </c>
      <c r="D203" s="102"/>
      <c r="E203" s="116">
        <v>0</v>
      </c>
      <c r="F203" s="116">
        <v>0</v>
      </c>
    </row>
    <row r="204" spans="1:6" ht="12" customHeight="1" x14ac:dyDescent="0.25">
      <c r="A204" s="96">
        <v>713521998</v>
      </c>
      <c r="B204" s="115" t="s">
        <v>145</v>
      </c>
      <c r="C204" s="115" t="s">
        <v>144</v>
      </c>
      <c r="D204" s="102"/>
      <c r="E204" s="116">
        <v>0</v>
      </c>
      <c r="F204" s="116">
        <v>0</v>
      </c>
    </row>
    <row r="205" spans="1:6" ht="12" customHeight="1" x14ac:dyDescent="0.25">
      <c r="A205" s="96">
        <v>713531998</v>
      </c>
      <c r="B205" s="115" t="s">
        <v>465</v>
      </c>
      <c r="C205" s="115" t="s">
        <v>466</v>
      </c>
      <c r="D205" s="102"/>
      <c r="E205" s="116">
        <v>0</v>
      </c>
      <c r="F205" s="116">
        <v>0</v>
      </c>
    </row>
    <row r="206" spans="1:6" ht="12" customHeight="1" x14ac:dyDescent="0.25">
      <c r="A206" s="96">
        <v>713601998</v>
      </c>
      <c r="B206" s="115" t="s">
        <v>143</v>
      </c>
      <c r="C206" s="115" t="s">
        <v>142</v>
      </c>
      <c r="D206" s="102"/>
      <c r="E206" s="116">
        <v>0</v>
      </c>
      <c r="F206" s="116">
        <v>0</v>
      </c>
    </row>
    <row r="207" spans="1:6" ht="12" customHeight="1" x14ac:dyDescent="0.25">
      <c r="A207" s="96"/>
      <c r="B207" s="115"/>
      <c r="C207" s="115"/>
      <c r="D207" s="102"/>
      <c r="E207" s="116"/>
      <c r="F207" s="116"/>
    </row>
    <row r="208" spans="1:6" ht="12" customHeight="1" x14ac:dyDescent="0.25">
      <c r="A208" s="96"/>
      <c r="B208" s="115"/>
      <c r="C208" s="115"/>
      <c r="D208" s="102"/>
      <c r="E208" s="116"/>
      <c r="F208" s="116"/>
    </row>
    <row r="209" spans="1:6" ht="12" customHeight="1" x14ac:dyDescent="0.25">
      <c r="A209" s="96"/>
      <c r="B209" s="115"/>
      <c r="C209" s="115"/>
      <c r="D209" s="102"/>
      <c r="E209" s="116"/>
      <c r="F209" s="116"/>
    </row>
    <row r="210" spans="1:6" ht="12" customHeight="1" x14ac:dyDescent="0.25">
      <c r="A210" s="96"/>
      <c r="B210" s="115"/>
      <c r="C210" s="115"/>
      <c r="D210" s="102"/>
      <c r="E210" s="116"/>
      <c r="F210" s="116"/>
    </row>
    <row r="211" spans="1:6" ht="12" customHeight="1" x14ac:dyDescent="0.25">
      <c r="A211" s="96"/>
      <c r="B211" s="115"/>
      <c r="C211" s="115"/>
      <c r="D211" s="102"/>
      <c r="E211" s="116"/>
      <c r="F211" s="116"/>
    </row>
    <row r="212" spans="1:6" ht="12" customHeight="1" x14ac:dyDescent="0.25">
      <c r="A212" s="96"/>
      <c r="B212" s="115"/>
      <c r="C212" s="115"/>
      <c r="D212" s="102"/>
      <c r="E212" s="116"/>
      <c r="F212" s="116"/>
    </row>
    <row r="213" spans="1:6" ht="12" customHeight="1" x14ac:dyDescent="0.25">
      <c r="A213" s="96"/>
      <c r="B213" s="115"/>
      <c r="C213" s="115"/>
      <c r="D213" s="102"/>
      <c r="E213" s="116"/>
      <c r="F213" s="116"/>
    </row>
    <row r="214" spans="1:6" ht="12" customHeight="1" x14ac:dyDescent="0.25">
      <c r="A214" s="96"/>
      <c r="B214" s="115" t="s">
        <v>12</v>
      </c>
      <c r="C214" s="118" t="s">
        <v>127</v>
      </c>
      <c r="D214" s="9"/>
      <c r="E214" s="116">
        <f>SUM(E176:E213)</f>
        <v>0</v>
      </c>
      <c r="F214" s="116">
        <f>SUM(F176:F213)</f>
        <v>0</v>
      </c>
    </row>
    <row r="215" spans="1:6" ht="12" customHeight="1" x14ac:dyDescent="0.25">
      <c r="A215" s="96"/>
      <c r="B215" s="9"/>
      <c r="C215" s="9"/>
      <c r="D215" s="9"/>
      <c r="E215" s="9"/>
      <c r="F215" s="102"/>
    </row>
    <row r="216" spans="1:6" ht="12" customHeight="1" x14ac:dyDescent="0.25">
      <c r="A216" s="106" t="s">
        <v>64</v>
      </c>
      <c r="B216" s="157"/>
      <c r="C216" s="157"/>
      <c r="D216" s="102"/>
      <c r="E216" s="102"/>
      <c r="F216" s="102"/>
    </row>
    <row r="217" spans="1:6" ht="12" customHeight="1" x14ac:dyDescent="0.25">
      <c r="A217" s="96">
        <v>714011009</v>
      </c>
      <c r="B217" s="115" t="s">
        <v>141</v>
      </c>
      <c r="C217" s="115" t="s">
        <v>470</v>
      </c>
      <c r="D217" s="102"/>
      <c r="E217" s="116">
        <v>0</v>
      </c>
      <c r="F217" s="116">
        <v>0</v>
      </c>
    </row>
    <row r="218" spans="1:6" ht="12" customHeight="1" x14ac:dyDescent="0.25">
      <c r="A218" s="96">
        <v>714011026</v>
      </c>
      <c r="B218" s="115" t="s">
        <v>427</v>
      </c>
      <c r="C218" s="115" t="s">
        <v>471</v>
      </c>
      <c r="D218" s="102"/>
      <c r="E218" s="116">
        <v>0</v>
      </c>
      <c r="F218" s="116">
        <v>0</v>
      </c>
    </row>
    <row r="219" spans="1:6" ht="12" customHeight="1" x14ac:dyDescent="0.25">
      <c r="A219" s="96">
        <v>714011032</v>
      </c>
      <c r="B219" s="115"/>
      <c r="C219" s="115" t="s">
        <v>469</v>
      </c>
      <c r="D219" s="102"/>
      <c r="E219" s="116">
        <v>0</v>
      </c>
      <c r="F219" s="116">
        <v>0</v>
      </c>
    </row>
    <row r="220" spans="1:6" ht="12" customHeight="1" x14ac:dyDescent="0.25">
      <c r="A220" s="96">
        <v>714011033</v>
      </c>
      <c r="B220" s="115" t="s">
        <v>140</v>
      </c>
      <c r="C220" s="115" t="s">
        <v>472</v>
      </c>
      <c r="D220" s="102"/>
      <c r="E220" s="116">
        <v>0</v>
      </c>
      <c r="F220" s="116">
        <v>0</v>
      </c>
    </row>
    <row r="221" spans="1:6" ht="12" customHeight="1" x14ac:dyDescent="0.25">
      <c r="A221" s="96">
        <v>714011019</v>
      </c>
      <c r="B221" s="115"/>
      <c r="C221" s="157" t="s">
        <v>6</v>
      </c>
      <c r="D221" s="102"/>
      <c r="E221" s="116">
        <v>0</v>
      </c>
      <c r="F221" s="116">
        <v>0</v>
      </c>
    </row>
    <row r="222" spans="1:6" ht="12" customHeight="1" x14ac:dyDescent="0.25">
      <c r="A222" s="96">
        <v>714011045</v>
      </c>
      <c r="B222" s="115" t="s">
        <v>139</v>
      </c>
      <c r="C222" s="115" t="s">
        <v>473</v>
      </c>
      <c r="D222" s="102"/>
      <c r="E222" s="116">
        <v>0</v>
      </c>
      <c r="F222" s="116">
        <v>0</v>
      </c>
    </row>
    <row r="223" spans="1:6" ht="12" customHeight="1" x14ac:dyDescent="0.25">
      <c r="A223" s="96">
        <v>714011046</v>
      </c>
      <c r="B223" s="115" t="s">
        <v>138</v>
      </c>
      <c r="C223" s="115" t="s">
        <v>474</v>
      </c>
      <c r="D223" s="9"/>
      <c r="E223" s="116">
        <v>0</v>
      </c>
      <c r="F223" s="116">
        <v>0</v>
      </c>
    </row>
    <row r="224" spans="1:6" ht="12" customHeight="1" x14ac:dyDescent="0.25">
      <c r="A224" s="96">
        <v>714011049</v>
      </c>
      <c r="B224" s="115" t="s">
        <v>137</v>
      </c>
      <c r="C224" s="115" t="s">
        <v>2</v>
      </c>
      <c r="D224" s="9"/>
      <c r="E224" s="116">
        <v>0</v>
      </c>
      <c r="F224" s="116">
        <v>0</v>
      </c>
    </row>
    <row r="225" spans="1:6" ht="12" customHeight="1" x14ac:dyDescent="0.25">
      <c r="A225" s="96">
        <v>714011050</v>
      </c>
      <c r="B225" s="115" t="s">
        <v>136</v>
      </c>
      <c r="C225" s="115" t="s">
        <v>3</v>
      </c>
      <c r="D225" s="102"/>
      <c r="E225" s="116">
        <v>0</v>
      </c>
      <c r="F225" s="116">
        <v>0</v>
      </c>
    </row>
    <row r="226" spans="1:6" ht="12" customHeight="1" x14ac:dyDescent="0.25">
      <c r="A226" s="96">
        <v>714013004</v>
      </c>
      <c r="B226" s="115" t="s">
        <v>135</v>
      </c>
      <c r="C226" s="115" t="s">
        <v>449</v>
      </c>
      <c r="D226" s="102"/>
      <c r="E226" s="116">
        <v>0</v>
      </c>
      <c r="F226" s="116">
        <v>0</v>
      </c>
    </row>
    <row r="227" spans="1:6" ht="12" customHeight="1" x14ac:dyDescent="0.25">
      <c r="A227" s="96">
        <v>714013006</v>
      </c>
      <c r="B227" s="115" t="s">
        <v>134</v>
      </c>
      <c r="C227" s="115" t="s">
        <v>475</v>
      </c>
      <c r="D227" s="102"/>
      <c r="E227" s="116">
        <v>0</v>
      </c>
      <c r="F227" s="116">
        <v>0</v>
      </c>
    </row>
    <row r="228" spans="1:6" ht="12" customHeight="1" x14ac:dyDescent="0.25">
      <c r="A228" s="96">
        <v>714013007</v>
      </c>
      <c r="B228" s="115"/>
      <c r="C228" s="115" t="s">
        <v>7</v>
      </c>
      <c r="D228" s="102"/>
      <c r="E228" s="116">
        <v>0</v>
      </c>
      <c r="F228" s="116">
        <v>0</v>
      </c>
    </row>
    <row r="229" spans="1:6" ht="12" customHeight="1" x14ac:dyDescent="0.25">
      <c r="A229" s="96">
        <v>714013008</v>
      </c>
      <c r="B229" s="115"/>
      <c r="C229" s="115" t="s">
        <v>449</v>
      </c>
      <c r="D229" s="102"/>
      <c r="E229" s="116">
        <v>0</v>
      </c>
      <c r="F229" s="116">
        <v>0</v>
      </c>
    </row>
    <row r="230" spans="1:6" ht="12" customHeight="1" x14ac:dyDescent="0.25">
      <c r="A230" s="9"/>
      <c r="B230" s="115" t="s">
        <v>12</v>
      </c>
      <c r="C230" s="118" t="s">
        <v>127</v>
      </c>
      <c r="D230" s="102"/>
      <c r="E230" s="116">
        <f>SUM(E216:E229)</f>
        <v>0</v>
      </c>
      <c r="F230" s="116">
        <f>SUM(F217:F229)</f>
        <v>0</v>
      </c>
    </row>
    <row r="231" spans="1:6" ht="12" customHeight="1" x14ac:dyDescent="0.25">
      <c r="A231" s="119"/>
      <c r="B231" s="9"/>
      <c r="C231" s="103"/>
      <c r="D231" s="102"/>
      <c r="E231" s="102"/>
      <c r="F231" s="9"/>
    </row>
    <row r="232" spans="1:6" ht="12" customHeight="1" x14ac:dyDescent="0.25">
      <c r="A232" s="114" t="s">
        <v>60</v>
      </c>
      <c r="B232" s="9"/>
      <c r="C232" s="9"/>
      <c r="D232" s="9"/>
      <c r="E232" s="9"/>
      <c r="F232" s="9"/>
    </row>
    <row r="233" spans="1:6" ht="12" customHeight="1" x14ac:dyDescent="0.25">
      <c r="A233" s="120">
        <v>612011009</v>
      </c>
      <c r="B233" s="115" t="s">
        <v>133</v>
      </c>
      <c r="C233" s="115" t="s">
        <v>132</v>
      </c>
      <c r="D233" s="9"/>
      <c r="E233" s="116">
        <v>0</v>
      </c>
      <c r="F233" s="116">
        <v>0</v>
      </c>
    </row>
    <row r="234" spans="1:6" ht="12" customHeight="1" x14ac:dyDescent="0.25">
      <c r="A234" s="120">
        <v>612011044</v>
      </c>
      <c r="B234" s="115" t="s">
        <v>131</v>
      </c>
      <c r="C234" s="115" t="s">
        <v>130</v>
      </c>
      <c r="D234" s="9"/>
      <c r="E234" s="116">
        <v>0</v>
      </c>
      <c r="F234" s="116">
        <v>0</v>
      </c>
    </row>
    <row r="235" spans="1:6" ht="12" customHeight="1" x14ac:dyDescent="0.25">
      <c r="A235" s="120">
        <v>612011046</v>
      </c>
      <c r="B235" s="115" t="s">
        <v>129</v>
      </c>
      <c r="C235" s="115" t="s">
        <v>128</v>
      </c>
      <c r="D235" s="9"/>
      <c r="E235" s="116">
        <v>0</v>
      </c>
      <c r="F235" s="116">
        <v>0</v>
      </c>
    </row>
    <row r="236" spans="1:6" ht="12" customHeight="1" x14ac:dyDescent="0.25">
      <c r="A236" s="120">
        <v>612011034</v>
      </c>
      <c r="B236" s="115"/>
      <c r="C236" s="115" t="s">
        <v>8</v>
      </c>
      <c r="D236" s="9"/>
      <c r="E236" s="116">
        <v>0</v>
      </c>
      <c r="F236" s="116">
        <v>0</v>
      </c>
    </row>
    <row r="237" spans="1:6" ht="12" customHeight="1" x14ac:dyDescent="0.25">
      <c r="A237" s="9"/>
      <c r="B237" s="115" t="s">
        <v>12</v>
      </c>
      <c r="C237" s="118" t="s">
        <v>127</v>
      </c>
      <c r="D237" s="9"/>
      <c r="E237" s="116">
        <f>SUM(E233:E236)</f>
        <v>0</v>
      </c>
      <c r="F237" s="116">
        <f>SUM(F233:F236)</f>
        <v>0</v>
      </c>
    </row>
    <row r="238" spans="1:6" ht="12" customHeight="1" x14ac:dyDescent="0.25">
      <c r="A238" s="9"/>
      <c r="B238" s="9"/>
      <c r="C238" s="9"/>
      <c r="D238" s="9"/>
      <c r="E238" s="9"/>
      <c r="F238" s="9"/>
    </row>
    <row r="239" spans="1:6" ht="12" customHeight="1" x14ac:dyDescent="0.25">
      <c r="A239" s="9"/>
      <c r="B239" s="9"/>
      <c r="C239" s="118" t="s">
        <v>126</v>
      </c>
      <c r="D239" s="9"/>
      <c r="E239" s="9"/>
      <c r="F239" s="116">
        <f>F10+F22+F143+F153+F157+F165+F173+F214+F230+F237</f>
        <v>0</v>
      </c>
    </row>
    <row r="241" spans="6:6" ht="15" customHeight="1" x14ac:dyDescent="0.25">
      <c r="F241" s="116"/>
    </row>
    <row r="242" spans="6:6" ht="15" customHeight="1" x14ac:dyDescent="0.25">
      <c r="F242" s="159"/>
    </row>
  </sheetData>
  <sheetProtection insertColumns="0" insertRows="0" insertHyperlinks="0" deleteColumns="0" deleteRows="0" selectLockedCells="1" selectUnlockedCells="1"/>
  <mergeCells count="3">
    <mergeCell ref="A1:F1"/>
    <mergeCell ref="A2:F2"/>
    <mergeCell ref="A3:F3"/>
  </mergeCells>
  <pageMargins left="0.7" right="0.7" top="0.75" bottom="0.75" header="0.3" footer="0.3"/>
  <pageSetup orientation="portrait" r:id="rId1"/>
  <headerFooter>
    <oddHeader>&amp;C&amp;L&amp;RAnexo N°. 141 / 013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F207"/>
  <sheetViews>
    <sheetView workbookViewId="0">
      <selection activeCell="F186" sqref="F186"/>
    </sheetView>
  </sheetViews>
  <sheetFormatPr defaultColWidth="17.21875" defaultRowHeight="10.8" customHeight="1" x14ac:dyDescent="0.25"/>
  <cols>
    <col min="1" max="1" width="17.109375" style="92" customWidth="1"/>
    <col min="2" max="2" width="19.33203125" style="111" hidden="1" customWidth="1"/>
    <col min="3" max="3" width="92" style="92" customWidth="1"/>
    <col min="4" max="5" width="13.6640625" style="92" customWidth="1"/>
    <col min="6" max="6" width="9.21875" style="92" bestFit="1" customWidth="1"/>
    <col min="7" max="7" width="12.109375" style="92" bestFit="1" customWidth="1"/>
    <col min="8" max="26" width="10" style="92" customWidth="1"/>
    <col min="27" max="16384" width="17.21875" style="92"/>
  </cols>
  <sheetData>
    <row r="1" spans="1:6" ht="10.8" customHeight="1" x14ac:dyDescent="0.25">
      <c r="A1" s="173">
        <f>Menu!C4</f>
        <v>0</v>
      </c>
      <c r="B1" s="164"/>
      <c r="C1" s="164"/>
      <c r="D1" s="164"/>
      <c r="E1" s="164"/>
    </row>
    <row r="2" spans="1:6" ht="10.8" customHeight="1" x14ac:dyDescent="0.25">
      <c r="A2" s="173" t="s">
        <v>417</v>
      </c>
      <c r="B2" s="164"/>
      <c r="C2" s="164"/>
      <c r="D2" s="164"/>
      <c r="E2" s="164"/>
    </row>
    <row r="3" spans="1:6" ht="10.8" customHeight="1" x14ac:dyDescent="0.25">
      <c r="A3" s="174" t="s">
        <v>429</v>
      </c>
      <c r="B3" s="164"/>
      <c r="C3" s="164"/>
      <c r="D3" s="164"/>
      <c r="E3" s="164"/>
    </row>
    <row r="4" spans="1:6" ht="10.8" customHeight="1" x14ac:dyDescent="0.25">
      <c r="A4" s="93"/>
      <c r="B4" s="94"/>
      <c r="C4" s="93"/>
      <c r="D4" s="95"/>
      <c r="E4" s="95"/>
    </row>
    <row r="5" spans="1:6" ht="10.8" customHeight="1" x14ac:dyDescent="0.25">
      <c r="A5" s="93"/>
      <c r="B5" s="94"/>
      <c r="C5" s="93"/>
      <c r="D5" s="95" t="s">
        <v>398</v>
      </c>
      <c r="E5" s="95" t="s">
        <v>416</v>
      </c>
    </row>
    <row r="6" spans="1:6" ht="10.8" customHeight="1" x14ac:dyDescent="0.25">
      <c r="A6" s="9"/>
      <c r="B6" s="96"/>
      <c r="C6" s="9"/>
      <c r="D6" s="97">
        <f>Menu!C6</f>
        <v>0</v>
      </c>
      <c r="E6" s="98">
        <v>0.34</v>
      </c>
    </row>
    <row r="7" spans="1:6" ht="10.8" customHeight="1" x14ac:dyDescent="0.25">
      <c r="A7" s="99" t="s">
        <v>396</v>
      </c>
      <c r="B7" s="100"/>
      <c r="C7" s="101"/>
      <c r="D7" s="101"/>
      <c r="E7" s="101"/>
    </row>
    <row r="8" spans="1:6" ht="10.8" customHeight="1" x14ac:dyDescent="0.25">
      <c r="A8" s="96">
        <v>121011004</v>
      </c>
      <c r="B8" s="96" t="s">
        <v>395</v>
      </c>
      <c r="C8" s="9" t="s">
        <v>394</v>
      </c>
      <c r="D8" s="102">
        <v>0</v>
      </c>
      <c r="E8" s="102">
        <f>-D8*E$6</f>
        <v>0</v>
      </c>
    </row>
    <row r="9" spans="1:6" ht="10.8" customHeight="1" x14ac:dyDescent="0.25">
      <c r="A9" s="96">
        <v>121012004</v>
      </c>
      <c r="B9" s="96" t="s">
        <v>393</v>
      </c>
      <c r="C9" s="9" t="s">
        <v>392</v>
      </c>
      <c r="D9" s="102">
        <v>0</v>
      </c>
      <c r="E9" s="102">
        <f>-D9*E$6</f>
        <v>0</v>
      </c>
    </row>
    <row r="10" spans="1:6" ht="10.8" customHeight="1" x14ac:dyDescent="0.25">
      <c r="A10" s="9"/>
      <c r="B10" s="96" t="s">
        <v>12</v>
      </c>
      <c r="C10" s="103" t="s">
        <v>127</v>
      </c>
      <c r="D10" s="102">
        <f>SUM(D8:D9)</f>
        <v>0</v>
      </c>
      <c r="E10" s="102">
        <f>SUM(E8:E9)</f>
        <v>0</v>
      </c>
      <c r="F10" s="92" t="s">
        <v>415</v>
      </c>
    </row>
    <row r="11" spans="1:6" ht="10.8" customHeight="1" x14ac:dyDescent="0.25">
      <c r="A11" s="9"/>
      <c r="B11" s="96" t="s">
        <v>26</v>
      </c>
      <c r="C11" s="9"/>
      <c r="D11" s="102"/>
      <c r="E11" s="102"/>
    </row>
    <row r="12" spans="1:6" ht="10.8" customHeight="1" x14ac:dyDescent="0.25">
      <c r="A12" s="99" t="s">
        <v>391</v>
      </c>
      <c r="B12" s="96"/>
      <c r="C12" s="104"/>
      <c r="D12" s="104"/>
      <c r="E12" s="104"/>
    </row>
    <row r="13" spans="1:6" ht="10.8" customHeight="1" x14ac:dyDescent="0.25">
      <c r="A13" s="96">
        <v>212092001</v>
      </c>
      <c r="B13" s="96" t="s">
        <v>390</v>
      </c>
      <c r="C13" s="104" t="s">
        <v>389</v>
      </c>
      <c r="D13" s="102">
        <v>0</v>
      </c>
      <c r="E13" s="102">
        <f t="shared" ref="E13:E21" si="0">-D13*E$6</f>
        <v>0</v>
      </c>
    </row>
    <row r="14" spans="1:6" ht="10.8" customHeight="1" x14ac:dyDescent="0.25">
      <c r="A14" s="96">
        <v>212092003</v>
      </c>
      <c r="B14" s="96" t="s">
        <v>388</v>
      </c>
      <c r="C14" s="9" t="s">
        <v>387</v>
      </c>
      <c r="D14" s="102">
        <v>0</v>
      </c>
      <c r="E14" s="102">
        <f t="shared" si="0"/>
        <v>0</v>
      </c>
    </row>
    <row r="15" spans="1:6" ht="10.8" customHeight="1" x14ac:dyDescent="0.25">
      <c r="A15" s="96">
        <v>213021012</v>
      </c>
      <c r="B15" s="96" t="s">
        <v>386</v>
      </c>
      <c r="C15" s="9" t="s">
        <v>385</v>
      </c>
      <c r="D15" s="102">
        <v>0</v>
      </c>
      <c r="E15" s="102">
        <f t="shared" si="0"/>
        <v>0</v>
      </c>
    </row>
    <row r="16" spans="1:6" ht="10.8" customHeight="1" x14ac:dyDescent="0.25">
      <c r="A16" s="96">
        <v>213022101</v>
      </c>
      <c r="B16" s="96" t="s">
        <v>384</v>
      </c>
      <c r="C16" s="9" t="s">
        <v>383</v>
      </c>
      <c r="D16" s="102">
        <v>0</v>
      </c>
      <c r="E16" s="102">
        <f t="shared" si="0"/>
        <v>0</v>
      </c>
    </row>
    <row r="17" spans="1:6" ht="10.8" customHeight="1" x14ac:dyDescent="0.25">
      <c r="A17" s="96">
        <v>213023101</v>
      </c>
      <c r="B17" s="96" t="s">
        <v>382</v>
      </c>
      <c r="C17" s="9" t="s">
        <v>381</v>
      </c>
      <c r="D17" s="102">
        <v>0</v>
      </c>
      <c r="E17" s="102">
        <f t="shared" si="0"/>
        <v>0</v>
      </c>
    </row>
    <row r="18" spans="1:6" ht="10.8" customHeight="1" x14ac:dyDescent="0.25">
      <c r="A18" s="96">
        <v>213023103</v>
      </c>
      <c r="B18" s="96" t="s">
        <v>380</v>
      </c>
      <c r="C18" s="9" t="s">
        <v>379</v>
      </c>
      <c r="D18" s="102">
        <v>0</v>
      </c>
      <c r="E18" s="102">
        <f t="shared" si="0"/>
        <v>0</v>
      </c>
    </row>
    <row r="19" spans="1:6" ht="10.8" customHeight="1" x14ac:dyDescent="0.25">
      <c r="A19" s="96">
        <v>213023005</v>
      </c>
      <c r="B19" s="9"/>
      <c r="C19" s="9" t="s">
        <v>1</v>
      </c>
      <c r="D19" s="102">
        <v>0</v>
      </c>
      <c r="E19" s="102">
        <f t="shared" si="0"/>
        <v>0</v>
      </c>
    </row>
    <row r="20" spans="1:6" ht="10.8" customHeight="1" x14ac:dyDescent="0.25">
      <c r="A20" s="96">
        <v>213025001</v>
      </c>
      <c r="B20" s="96" t="s">
        <v>378</v>
      </c>
      <c r="C20" s="9" t="s">
        <v>377</v>
      </c>
      <c r="D20" s="102">
        <v>0</v>
      </c>
      <c r="E20" s="102">
        <f t="shared" si="0"/>
        <v>0</v>
      </c>
    </row>
    <row r="21" spans="1:6" ht="10.8" customHeight="1" x14ac:dyDescent="0.25">
      <c r="A21" s="96">
        <v>213025002</v>
      </c>
      <c r="B21" s="96" t="s">
        <v>376</v>
      </c>
      <c r="C21" s="9" t="s">
        <v>375</v>
      </c>
      <c r="D21" s="102">
        <v>0</v>
      </c>
      <c r="E21" s="102">
        <f t="shared" si="0"/>
        <v>0</v>
      </c>
    </row>
    <row r="22" spans="1:6" ht="10.8" customHeight="1" x14ac:dyDescent="0.25">
      <c r="A22" s="9"/>
      <c r="B22" s="96" t="s">
        <v>12</v>
      </c>
      <c r="C22" s="103" t="s">
        <v>127</v>
      </c>
      <c r="D22" s="102">
        <f>SUM(D13:D21)</f>
        <v>0</v>
      </c>
      <c r="E22" s="102">
        <f>SUM(E13:E21)</f>
        <v>0</v>
      </c>
      <c r="F22" s="92" t="s">
        <v>405</v>
      </c>
    </row>
    <row r="23" spans="1:6" ht="10.8" customHeight="1" x14ac:dyDescent="0.25">
      <c r="A23" s="9"/>
      <c r="B23" s="96" t="s">
        <v>26</v>
      </c>
      <c r="C23" s="103"/>
      <c r="D23" s="102"/>
      <c r="E23" s="102"/>
    </row>
    <row r="24" spans="1:6" ht="10.8" customHeight="1" x14ac:dyDescent="0.25">
      <c r="A24" s="99" t="s">
        <v>374</v>
      </c>
      <c r="B24" s="96"/>
      <c r="C24" s="104"/>
      <c r="D24" s="104"/>
      <c r="E24" s="104"/>
    </row>
    <row r="25" spans="1:6" ht="10.8" customHeight="1" x14ac:dyDescent="0.25">
      <c r="A25" s="96">
        <v>111012995</v>
      </c>
      <c r="B25" s="96" t="s">
        <v>373</v>
      </c>
      <c r="C25" s="9" t="s">
        <v>368</v>
      </c>
      <c r="D25" s="102">
        <v>0</v>
      </c>
      <c r="E25" s="102">
        <f t="shared" ref="E25:E56" si="1">-D25*E$6</f>
        <v>0</v>
      </c>
      <c r="F25" s="92" t="s">
        <v>415</v>
      </c>
    </row>
    <row r="26" spans="1:6" ht="10.8" customHeight="1" x14ac:dyDescent="0.25">
      <c r="A26" s="96">
        <v>111016995</v>
      </c>
      <c r="B26" s="96" t="s">
        <v>372</v>
      </c>
      <c r="C26" s="9" t="s">
        <v>368</v>
      </c>
      <c r="D26" s="102">
        <v>0</v>
      </c>
      <c r="E26" s="102">
        <f t="shared" si="1"/>
        <v>0</v>
      </c>
      <c r="F26" s="92" t="s">
        <v>415</v>
      </c>
    </row>
    <row r="27" spans="1:6" ht="10.8" customHeight="1" x14ac:dyDescent="0.25">
      <c r="A27" s="96">
        <v>111017995</v>
      </c>
      <c r="B27" s="96" t="s">
        <v>371</v>
      </c>
      <c r="C27" s="9" t="s">
        <v>368</v>
      </c>
      <c r="D27" s="102">
        <v>0</v>
      </c>
      <c r="E27" s="102">
        <f t="shared" si="1"/>
        <v>0</v>
      </c>
      <c r="F27" s="92" t="s">
        <v>415</v>
      </c>
    </row>
    <row r="28" spans="1:6" ht="10.8" customHeight="1" x14ac:dyDescent="0.25">
      <c r="A28" s="96">
        <v>111018995</v>
      </c>
      <c r="B28" s="96" t="s">
        <v>370</v>
      </c>
      <c r="C28" s="9" t="s">
        <v>368</v>
      </c>
      <c r="D28" s="102">
        <v>0</v>
      </c>
      <c r="E28" s="102">
        <f t="shared" si="1"/>
        <v>0</v>
      </c>
      <c r="F28" s="92" t="s">
        <v>415</v>
      </c>
    </row>
    <row r="29" spans="1:6" ht="10.8" customHeight="1" x14ac:dyDescent="0.25">
      <c r="A29" s="96">
        <v>111019995</v>
      </c>
      <c r="B29" s="96" t="s">
        <v>369</v>
      </c>
      <c r="C29" s="9" t="s">
        <v>368</v>
      </c>
      <c r="D29" s="102">
        <v>0</v>
      </c>
      <c r="E29" s="102">
        <f t="shared" si="1"/>
        <v>0</v>
      </c>
      <c r="F29" s="92" t="s">
        <v>415</v>
      </c>
    </row>
    <row r="30" spans="1:6" ht="10.8" customHeight="1" x14ac:dyDescent="0.25">
      <c r="A30" s="96">
        <v>111022995</v>
      </c>
      <c r="B30" s="96" t="s">
        <v>367</v>
      </c>
      <c r="C30" s="9" t="s">
        <v>362</v>
      </c>
      <c r="D30" s="102">
        <v>0</v>
      </c>
      <c r="E30" s="102">
        <f t="shared" si="1"/>
        <v>0</v>
      </c>
      <c r="F30" s="92" t="s">
        <v>415</v>
      </c>
    </row>
    <row r="31" spans="1:6" ht="10.8" customHeight="1" x14ac:dyDescent="0.25">
      <c r="A31" s="96">
        <v>111026995</v>
      </c>
      <c r="B31" s="96" t="s">
        <v>366</v>
      </c>
      <c r="C31" s="9" t="s">
        <v>362</v>
      </c>
      <c r="D31" s="102">
        <v>0</v>
      </c>
      <c r="E31" s="102">
        <f t="shared" si="1"/>
        <v>0</v>
      </c>
      <c r="F31" s="92" t="s">
        <v>415</v>
      </c>
    </row>
    <row r="32" spans="1:6" ht="10.8" customHeight="1" x14ac:dyDescent="0.25">
      <c r="A32" s="96">
        <v>111027995</v>
      </c>
      <c r="B32" s="96" t="s">
        <v>365</v>
      </c>
      <c r="C32" s="9" t="s">
        <v>362</v>
      </c>
      <c r="D32" s="102">
        <v>0</v>
      </c>
      <c r="E32" s="102">
        <f t="shared" si="1"/>
        <v>0</v>
      </c>
      <c r="F32" s="92" t="s">
        <v>415</v>
      </c>
    </row>
    <row r="33" spans="1:6" ht="10.8" customHeight="1" x14ac:dyDescent="0.25">
      <c r="A33" s="96">
        <v>111028995</v>
      </c>
      <c r="B33" s="96" t="s">
        <v>364</v>
      </c>
      <c r="C33" s="9" t="s">
        <v>362</v>
      </c>
      <c r="D33" s="102">
        <v>0</v>
      </c>
      <c r="E33" s="102">
        <f t="shared" si="1"/>
        <v>0</v>
      </c>
      <c r="F33" s="92" t="s">
        <v>415</v>
      </c>
    </row>
    <row r="34" spans="1:6" ht="10.8" customHeight="1" x14ac:dyDescent="0.25">
      <c r="A34" s="96">
        <v>111029995</v>
      </c>
      <c r="B34" s="96" t="s">
        <v>363</v>
      </c>
      <c r="C34" s="9" t="s">
        <v>362</v>
      </c>
      <c r="D34" s="102">
        <v>0</v>
      </c>
      <c r="E34" s="102">
        <f t="shared" si="1"/>
        <v>0</v>
      </c>
      <c r="F34" s="92" t="s">
        <v>415</v>
      </c>
    </row>
    <row r="35" spans="1:6" ht="10.8" customHeight="1" x14ac:dyDescent="0.25">
      <c r="A35" s="96">
        <v>111031995</v>
      </c>
      <c r="B35" s="96" t="s">
        <v>361</v>
      </c>
      <c r="C35" s="9" t="s">
        <v>355</v>
      </c>
      <c r="D35" s="102">
        <v>0</v>
      </c>
      <c r="E35" s="102">
        <f t="shared" si="1"/>
        <v>0</v>
      </c>
      <c r="F35" s="92" t="s">
        <v>415</v>
      </c>
    </row>
    <row r="36" spans="1:6" ht="10.8" customHeight="1" x14ac:dyDescent="0.25">
      <c r="A36" s="96">
        <v>111032995</v>
      </c>
      <c r="B36" s="96" t="s">
        <v>360</v>
      </c>
      <c r="C36" s="9" t="s">
        <v>355</v>
      </c>
      <c r="D36" s="102">
        <v>0</v>
      </c>
      <c r="E36" s="102">
        <f t="shared" si="1"/>
        <v>0</v>
      </c>
      <c r="F36" s="92" t="s">
        <v>415</v>
      </c>
    </row>
    <row r="37" spans="1:6" ht="10.8" customHeight="1" x14ac:dyDescent="0.25">
      <c r="A37" s="96">
        <v>111036995</v>
      </c>
      <c r="B37" s="96" t="s">
        <v>359</v>
      </c>
      <c r="C37" s="9" t="s">
        <v>355</v>
      </c>
      <c r="D37" s="102">
        <v>0</v>
      </c>
      <c r="E37" s="102">
        <f t="shared" si="1"/>
        <v>0</v>
      </c>
      <c r="F37" s="92" t="s">
        <v>415</v>
      </c>
    </row>
    <row r="38" spans="1:6" ht="10.8" customHeight="1" x14ac:dyDescent="0.25">
      <c r="A38" s="96">
        <v>111037995</v>
      </c>
      <c r="B38" s="96" t="s">
        <v>358</v>
      </c>
      <c r="C38" s="9" t="s">
        <v>355</v>
      </c>
      <c r="D38" s="102">
        <v>0</v>
      </c>
      <c r="E38" s="102">
        <f t="shared" si="1"/>
        <v>0</v>
      </c>
      <c r="F38" s="92" t="s">
        <v>415</v>
      </c>
    </row>
    <row r="39" spans="1:6" ht="10.8" customHeight="1" x14ac:dyDescent="0.25">
      <c r="A39" s="96">
        <v>111038995</v>
      </c>
      <c r="B39" s="96" t="s">
        <v>357</v>
      </c>
      <c r="C39" s="9" t="s">
        <v>355</v>
      </c>
      <c r="D39" s="102">
        <v>0</v>
      </c>
      <c r="E39" s="102">
        <f t="shared" si="1"/>
        <v>0</v>
      </c>
      <c r="F39" s="92" t="s">
        <v>415</v>
      </c>
    </row>
    <row r="40" spans="1:6" ht="10.8" customHeight="1" x14ac:dyDescent="0.25">
      <c r="A40" s="96">
        <v>111039995</v>
      </c>
      <c r="B40" s="96" t="s">
        <v>356</v>
      </c>
      <c r="C40" s="9" t="s">
        <v>355</v>
      </c>
      <c r="D40" s="102">
        <v>0</v>
      </c>
      <c r="E40" s="102">
        <f t="shared" si="1"/>
        <v>0</v>
      </c>
      <c r="F40" s="92" t="s">
        <v>415</v>
      </c>
    </row>
    <row r="41" spans="1:6" ht="10.8" customHeight="1" x14ac:dyDescent="0.25">
      <c r="A41" s="96">
        <v>111042995</v>
      </c>
      <c r="B41" s="96" t="s">
        <v>354</v>
      </c>
      <c r="C41" s="9" t="s">
        <v>349</v>
      </c>
      <c r="D41" s="102">
        <v>0</v>
      </c>
      <c r="E41" s="102">
        <f t="shared" si="1"/>
        <v>0</v>
      </c>
      <c r="F41" s="92" t="s">
        <v>415</v>
      </c>
    </row>
    <row r="42" spans="1:6" ht="10.8" customHeight="1" x14ac:dyDescent="0.25">
      <c r="A42" s="96">
        <v>111046995</v>
      </c>
      <c r="B42" s="96" t="s">
        <v>353</v>
      </c>
      <c r="C42" s="9" t="s">
        <v>349</v>
      </c>
      <c r="D42" s="102">
        <v>0</v>
      </c>
      <c r="E42" s="102">
        <f t="shared" si="1"/>
        <v>0</v>
      </c>
      <c r="F42" s="92" t="s">
        <v>415</v>
      </c>
    </row>
    <row r="43" spans="1:6" ht="10.8" customHeight="1" x14ac:dyDescent="0.25">
      <c r="A43" s="96">
        <v>111047995</v>
      </c>
      <c r="B43" s="96" t="s">
        <v>352</v>
      </c>
      <c r="C43" s="9" t="s">
        <v>349</v>
      </c>
      <c r="D43" s="102">
        <v>0</v>
      </c>
      <c r="E43" s="102">
        <f t="shared" si="1"/>
        <v>0</v>
      </c>
      <c r="F43" s="92" t="s">
        <v>415</v>
      </c>
    </row>
    <row r="44" spans="1:6" ht="10.8" customHeight="1" x14ac:dyDescent="0.25">
      <c r="A44" s="96">
        <v>111048995</v>
      </c>
      <c r="B44" s="96" t="s">
        <v>351</v>
      </c>
      <c r="C44" s="9" t="s">
        <v>349</v>
      </c>
      <c r="D44" s="102">
        <v>0</v>
      </c>
      <c r="E44" s="102">
        <f t="shared" si="1"/>
        <v>0</v>
      </c>
      <c r="F44" s="92" t="s">
        <v>415</v>
      </c>
    </row>
    <row r="45" spans="1:6" ht="10.8" customHeight="1" x14ac:dyDescent="0.25">
      <c r="A45" s="96">
        <v>111049995</v>
      </c>
      <c r="B45" s="96" t="s">
        <v>350</v>
      </c>
      <c r="C45" s="9" t="s">
        <v>349</v>
      </c>
      <c r="D45" s="102">
        <v>0</v>
      </c>
      <c r="E45" s="102">
        <f t="shared" si="1"/>
        <v>0</v>
      </c>
      <c r="F45" s="92" t="s">
        <v>415</v>
      </c>
    </row>
    <row r="46" spans="1:6" ht="10.8" customHeight="1" x14ac:dyDescent="0.25">
      <c r="A46" s="96">
        <v>111052995</v>
      </c>
      <c r="B46" s="96" t="s">
        <v>348</v>
      </c>
      <c r="C46" s="9" t="s">
        <v>347</v>
      </c>
      <c r="D46" s="102">
        <v>0</v>
      </c>
      <c r="E46" s="102">
        <f t="shared" si="1"/>
        <v>0</v>
      </c>
      <c r="F46" s="92" t="s">
        <v>415</v>
      </c>
    </row>
    <row r="47" spans="1:6" ht="10.8" customHeight="1" x14ac:dyDescent="0.25">
      <c r="A47" s="96">
        <v>111053995</v>
      </c>
      <c r="B47" s="96" t="s">
        <v>346</v>
      </c>
      <c r="C47" s="9" t="s">
        <v>341</v>
      </c>
      <c r="D47" s="102">
        <v>0</v>
      </c>
      <c r="E47" s="102">
        <f t="shared" si="1"/>
        <v>0</v>
      </c>
      <c r="F47" s="92" t="s">
        <v>415</v>
      </c>
    </row>
    <row r="48" spans="1:6" ht="10.8" customHeight="1" x14ac:dyDescent="0.25">
      <c r="A48" s="96">
        <v>111056995</v>
      </c>
      <c r="B48" s="96" t="s">
        <v>345</v>
      </c>
      <c r="C48" s="9" t="s">
        <v>341</v>
      </c>
      <c r="D48" s="102">
        <v>0</v>
      </c>
      <c r="E48" s="102">
        <f t="shared" si="1"/>
        <v>0</v>
      </c>
      <c r="F48" s="92" t="s">
        <v>415</v>
      </c>
    </row>
    <row r="49" spans="1:6" ht="10.8" customHeight="1" x14ac:dyDescent="0.25">
      <c r="A49" s="96">
        <v>111057995</v>
      </c>
      <c r="B49" s="96" t="s">
        <v>344</v>
      </c>
      <c r="C49" s="9" t="s">
        <v>341</v>
      </c>
      <c r="D49" s="102">
        <v>0</v>
      </c>
      <c r="E49" s="102">
        <f t="shared" si="1"/>
        <v>0</v>
      </c>
      <c r="F49" s="92" t="s">
        <v>415</v>
      </c>
    </row>
    <row r="50" spans="1:6" ht="10.8" customHeight="1" x14ac:dyDescent="0.25">
      <c r="A50" s="96">
        <v>111058995</v>
      </c>
      <c r="B50" s="96" t="s">
        <v>343</v>
      </c>
      <c r="C50" s="9" t="s">
        <v>341</v>
      </c>
      <c r="D50" s="102">
        <v>0</v>
      </c>
      <c r="E50" s="102">
        <f t="shared" si="1"/>
        <v>0</v>
      </c>
      <c r="F50" s="92" t="s">
        <v>415</v>
      </c>
    </row>
    <row r="51" spans="1:6" ht="10.8" customHeight="1" x14ac:dyDescent="0.25">
      <c r="A51" s="96">
        <v>111059995</v>
      </c>
      <c r="B51" s="96" t="s">
        <v>342</v>
      </c>
      <c r="C51" s="9" t="s">
        <v>341</v>
      </c>
      <c r="D51" s="102">
        <v>0</v>
      </c>
      <c r="E51" s="102">
        <f t="shared" si="1"/>
        <v>0</v>
      </c>
      <c r="F51" s="92" t="s">
        <v>415</v>
      </c>
    </row>
    <row r="52" spans="1:6" ht="10.8" customHeight="1" x14ac:dyDescent="0.25">
      <c r="A52" s="96">
        <v>111062995</v>
      </c>
      <c r="B52" s="96" t="s">
        <v>340</v>
      </c>
      <c r="C52" s="9" t="s">
        <v>335</v>
      </c>
      <c r="D52" s="102">
        <v>0</v>
      </c>
      <c r="E52" s="102">
        <f t="shared" si="1"/>
        <v>0</v>
      </c>
      <c r="F52" s="92" t="s">
        <v>415</v>
      </c>
    </row>
    <row r="53" spans="1:6" ht="10.8" customHeight="1" x14ac:dyDescent="0.25">
      <c r="A53" s="96">
        <v>111066995</v>
      </c>
      <c r="B53" s="96" t="s">
        <v>339</v>
      </c>
      <c r="C53" s="9" t="s">
        <v>335</v>
      </c>
      <c r="D53" s="102">
        <v>0</v>
      </c>
      <c r="E53" s="102">
        <f t="shared" si="1"/>
        <v>0</v>
      </c>
      <c r="F53" s="92" t="s">
        <v>415</v>
      </c>
    </row>
    <row r="54" spans="1:6" ht="10.8" customHeight="1" x14ac:dyDescent="0.25">
      <c r="A54" s="96">
        <v>111067995</v>
      </c>
      <c r="B54" s="96" t="s">
        <v>338</v>
      </c>
      <c r="C54" s="9" t="s">
        <v>335</v>
      </c>
      <c r="D54" s="102">
        <v>0</v>
      </c>
      <c r="E54" s="102">
        <f t="shared" si="1"/>
        <v>0</v>
      </c>
      <c r="F54" s="92" t="s">
        <v>415</v>
      </c>
    </row>
    <row r="55" spans="1:6" ht="10.8" customHeight="1" x14ac:dyDescent="0.25">
      <c r="A55" s="96">
        <v>111068995</v>
      </c>
      <c r="B55" s="96" t="s">
        <v>337</v>
      </c>
      <c r="C55" s="9" t="s">
        <v>335</v>
      </c>
      <c r="D55" s="102">
        <v>0</v>
      </c>
      <c r="E55" s="102">
        <f t="shared" si="1"/>
        <v>0</v>
      </c>
      <c r="F55" s="92" t="s">
        <v>415</v>
      </c>
    </row>
    <row r="56" spans="1:6" ht="10.8" customHeight="1" x14ac:dyDescent="0.25">
      <c r="A56" s="96">
        <v>111069995</v>
      </c>
      <c r="B56" s="96" t="s">
        <v>336</v>
      </c>
      <c r="C56" s="9" t="s">
        <v>335</v>
      </c>
      <c r="D56" s="102">
        <v>0</v>
      </c>
      <c r="E56" s="102">
        <f t="shared" si="1"/>
        <v>0</v>
      </c>
      <c r="F56" s="92" t="s">
        <v>415</v>
      </c>
    </row>
    <row r="57" spans="1:6" ht="10.8" customHeight="1" x14ac:dyDescent="0.25">
      <c r="A57" s="96">
        <v>112016995</v>
      </c>
      <c r="B57" s="96" t="s">
        <v>334</v>
      </c>
      <c r="C57" s="9" t="s">
        <v>330</v>
      </c>
      <c r="D57" s="102">
        <v>0</v>
      </c>
      <c r="E57" s="102">
        <f t="shared" ref="E57:E88" si="2">-D57*E$6</f>
        <v>0</v>
      </c>
      <c r="F57" s="92" t="s">
        <v>415</v>
      </c>
    </row>
    <row r="58" spans="1:6" ht="10.8" customHeight="1" x14ac:dyDescent="0.25">
      <c r="A58" s="96">
        <v>112017995</v>
      </c>
      <c r="B58" s="96" t="s">
        <v>333</v>
      </c>
      <c r="C58" s="9" t="s">
        <v>330</v>
      </c>
      <c r="D58" s="102">
        <v>0</v>
      </c>
      <c r="E58" s="102">
        <f t="shared" si="2"/>
        <v>0</v>
      </c>
      <c r="F58" s="92" t="s">
        <v>415</v>
      </c>
    </row>
    <row r="59" spans="1:6" ht="10.8" customHeight="1" x14ac:dyDescent="0.25">
      <c r="A59" s="96">
        <v>112018995</v>
      </c>
      <c r="B59" s="96" t="s">
        <v>332</v>
      </c>
      <c r="C59" s="9" t="s">
        <v>330</v>
      </c>
      <c r="D59" s="102">
        <v>0</v>
      </c>
      <c r="E59" s="102">
        <f t="shared" si="2"/>
        <v>0</v>
      </c>
      <c r="F59" s="92" t="s">
        <v>415</v>
      </c>
    </row>
    <row r="60" spans="1:6" ht="10.8" customHeight="1" x14ac:dyDescent="0.25">
      <c r="A60" s="96">
        <v>112019995</v>
      </c>
      <c r="B60" s="96" t="s">
        <v>331</v>
      </c>
      <c r="C60" s="9" t="s">
        <v>330</v>
      </c>
      <c r="D60" s="102">
        <v>0</v>
      </c>
      <c r="E60" s="102">
        <f t="shared" si="2"/>
        <v>0</v>
      </c>
      <c r="F60" s="92" t="s">
        <v>415</v>
      </c>
    </row>
    <row r="61" spans="1:6" ht="10.8" customHeight="1" x14ac:dyDescent="0.25">
      <c r="A61" s="96">
        <v>113016995</v>
      </c>
      <c r="B61" s="96" t="s">
        <v>329</v>
      </c>
      <c r="C61" s="9" t="s">
        <v>325</v>
      </c>
      <c r="D61" s="102">
        <v>0</v>
      </c>
      <c r="E61" s="102">
        <f t="shared" si="2"/>
        <v>0</v>
      </c>
      <c r="F61" s="92" t="s">
        <v>415</v>
      </c>
    </row>
    <row r="62" spans="1:6" ht="10.8" customHeight="1" x14ac:dyDescent="0.25">
      <c r="A62" s="96">
        <v>113017995</v>
      </c>
      <c r="B62" s="96" t="s">
        <v>328</v>
      </c>
      <c r="C62" s="9" t="s">
        <v>325</v>
      </c>
      <c r="D62" s="102">
        <v>0</v>
      </c>
      <c r="E62" s="102">
        <f t="shared" si="2"/>
        <v>0</v>
      </c>
      <c r="F62" s="92" t="s">
        <v>415</v>
      </c>
    </row>
    <row r="63" spans="1:6" ht="10.8" customHeight="1" x14ac:dyDescent="0.25">
      <c r="A63" s="96">
        <v>113018995</v>
      </c>
      <c r="B63" s="96" t="s">
        <v>327</v>
      </c>
      <c r="C63" s="9" t="s">
        <v>325</v>
      </c>
      <c r="D63" s="102">
        <v>0</v>
      </c>
      <c r="E63" s="102">
        <f t="shared" si="2"/>
        <v>0</v>
      </c>
      <c r="F63" s="92" t="s">
        <v>415</v>
      </c>
    </row>
    <row r="64" spans="1:6" ht="10.8" customHeight="1" x14ac:dyDescent="0.25">
      <c r="A64" s="96">
        <v>113019995</v>
      </c>
      <c r="B64" s="96" t="s">
        <v>326</v>
      </c>
      <c r="C64" s="9" t="s">
        <v>325</v>
      </c>
      <c r="D64" s="102">
        <v>0</v>
      </c>
      <c r="E64" s="102">
        <f t="shared" si="2"/>
        <v>0</v>
      </c>
      <c r="F64" s="92" t="s">
        <v>415</v>
      </c>
    </row>
    <row r="65" spans="1:6" ht="10.8" customHeight="1" x14ac:dyDescent="0.25">
      <c r="A65" s="96">
        <v>113026995</v>
      </c>
      <c r="B65" s="96" t="s">
        <v>324</v>
      </c>
      <c r="C65" s="9" t="s">
        <v>320</v>
      </c>
      <c r="D65" s="102">
        <v>0</v>
      </c>
      <c r="E65" s="102">
        <f t="shared" si="2"/>
        <v>0</v>
      </c>
      <c r="F65" s="92" t="s">
        <v>415</v>
      </c>
    </row>
    <row r="66" spans="1:6" ht="10.8" customHeight="1" x14ac:dyDescent="0.25">
      <c r="A66" s="96">
        <v>113027995</v>
      </c>
      <c r="B66" s="96" t="s">
        <v>323</v>
      </c>
      <c r="C66" s="9" t="s">
        <v>320</v>
      </c>
      <c r="D66" s="102">
        <v>0</v>
      </c>
      <c r="E66" s="102">
        <f t="shared" si="2"/>
        <v>0</v>
      </c>
      <c r="F66" s="92" t="s">
        <v>415</v>
      </c>
    </row>
    <row r="67" spans="1:6" ht="10.8" customHeight="1" x14ac:dyDescent="0.25">
      <c r="A67" s="96">
        <v>113028995</v>
      </c>
      <c r="B67" s="96" t="s">
        <v>322</v>
      </c>
      <c r="C67" s="9" t="s">
        <v>320</v>
      </c>
      <c r="D67" s="102">
        <v>0</v>
      </c>
      <c r="E67" s="102">
        <f t="shared" si="2"/>
        <v>0</v>
      </c>
      <c r="F67" s="92" t="s">
        <v>415</v>
      </c>
    </row>
    <row r="68" spans="1:6" ht="10.8" customHeight="1" x14ac:dyDescent="0.25">
      <c r="A68" s="96">
        <v>113029995</v>
      </c>
      <c r="B68" s="96" t="s">
        <v>321</v>
      </c>
      <c r="C68" s="9" t="s">
        <v>320</v>
      </c>
      <c r="D68" s="102">
        <v>0</v>
      </c>
      <c r="E68" s="102">
        <f t="shared" si="2"/>
        <v>0</v>
      </c>
      <c r="F68" s="92" t="s">
        <v>415</v>
      </c>
    </row>
    <row r="69" spans="1:6" ht="10.8" customHeight="1" x14ac:dyDescent="0.25">
      <c r="A69" s="96">
        <v>113031995</v>
      </c>
      <c r="B69" s="96" t="s">
        <v>319</v>
      </c>
      <c r="C69" s="9" t="s">
        <v>318</v>
      </c>
      <c r="D69" s="102">
        <v>0</v>
      </c>
      <c r="E69" s="102">
        <f t="shared" si="2"/>
        <v>0</v>
      </c>
      <c r="F69" s="92" t="s">
        <v>415</v>
      </c>
    </row>
    <row r="70" spans="1:6" ht="10.8" customHeight="1" x14ac:dyDescent="0.25">
      <c r="A70" s="96">
        <v>113036995</v>
      </c>
      <c r="B70" s="96" t="s">
        <v>317</v>
      </c>
      <c r="C70" s="9" t="s">
        <v>313</v>
      </c>
      <c r="D70" s="102">
        <v>0</v>
      </c>
      <c r="E70" s="102">
        <f t="shared" si="2"/>
        <v>0</v>
      </c>
      <c r="F70" s="92" t="s">
        <v>415</v>
      </c>
    </row>
    <row r="71" spans="1:6" ht="10.8" customHeight="1" x14ac:dyDescent="0.25">
      <c r="A71" s="96">
        <v>113037995</v>
      </c>
      <c r="B71" s="96" t="s">
        <v>316</v>
      </c>
      <c r="C71" s="9" t="s">
        <v>313</v>
      </c>
      <c r="D71" s="102">
        <v>0</v>
      </c>
      <c r="E71" s="102">
        <f t="shared" si="2"/>
        <v>0</v>
      </c>
      <c r="F71" s="92" t="s">
        <v>415</v>
      </c>
    </row>
    <row r="72" spans="1:6" ht="10.8" customHeight="1" x14ac:dyDescent="0.25">
      <c r="A72" s="96">
        <v>113038995</v>
      </c>
      <c r="B72" s="96" t="s">
        <v>315</v>
      </c>
      <c r="C72" s="9" t="s">
        <v>313</v>
      </c>
      <c r="D72" s="102">
        <v>0</v>
      </c>
      <c r="E72" s="102">
        <f t="shared" si="2"/>
        <v>0</v>
      </c>
      <c r="F72" s="92" t="s">
        <v>415</v>
      </c>
    </row>
    <row r="73" spans="1:6" ht="10.8" customHeight="1" x14ac:dyDescent="0.25">
      <c r="A73" s="96">
        <v>113039995</v>
      </c>
      <c r="B73" s="96" t="s">
        <v>314</v>
      </c>
      <c r="C73" s="9" t="s">
        <v>313</v>
      </c>
      <c r="D73" s="102">
        <v>0</v>
      </c>
      <c r="E73" s="102">
        <f t="shared" si="2"/>
        <v>0</v>
      </c>
      <c r="F73" s="92" t="s">
        <v>415</v>
      </c>
    </row>
    <row r="74" spans="1:6" ht="10.8" customHeight="1" x14ac:dyDescent="0.25">
      <c r="A74" s="96">
        <v>113041995</v>
      </c>
      <c r="B74" s="96" t="s">
        <v>312</v>
      </c>
      <c r="C74" s="9" t="s">
        <v>311</v>
      </c>
      <c r="D74" s="102">
        <v>0</v>
      </c>
      <c r="E74" s="102">
        <f t="shared" si="2"/>
        <v>0</v>
      </c>
      <c r="F74" s="92" t="s">
        <v>415</v>
      </c>
    </row>
    <row r="75" spans="1:6" ht="10.8" customHeight="1" x14ac:dyDescent="0.25">
      <c r="A75" s="96">
        <v>113046995</v>
      </c>
      <c r="B75" s="96" t="s">
        <v>310</v>
      </c>
      <c r="C75" s="9" t="s">
        <v>306</v>
      </c>
      <c r="D75" s="102">
        <v>0</v>
      </c>
      <c r="E75" s="102">
        <f t="shared" si="2"/>
        <v>0</v>
      </c>
      <c r="F75" s="92" t="s">
        <v>415</v>
      </c>
    </row>
    <row r="76" spans="1:6" ht="10.8" customHeight="1" x14ac:dyDescent="0.25">
      <c r="A76" s="96">
        <v>113047995</v>
      </c>
      <c r="B76" s="96" t="s">
        <v>309</v>
      </c>
      <c r="C76" s="9" t="s">
        <v>306</v>
      </c>
      <c r="D76" s="102">
        <v>0</v>
      </c>
      <c r="E76" s="102">
        <f t="shared" si="2"/>
        <v>0</v>
      </c>
      <c r="F76" s="92" t="s">
        <v>415</v>
      </c>
    </row>
    <row r="77" spans="1:6" ht="10.8" customHeight="1" x14ac:dyDescent="0.25">
      <c r="A77" s="96">
        <v>113048995</v>
      </c>
      <c r="B77" s="96" t="s">
        <v>308</v>
      </c>
      <c r="C77" s="9" t="s">
        <v>306</v>
      </c>
      <c r="D77" s="102">
        <v>0</v>
      </c>
      <c r="E77" s="102">
        <f t="shared" si="2"/>
        <v>0</v>
      </c>
      <c r="F77" s="92" t="s">
        <v>415</v>
      </c>
    </row>
    <row r="78" spans="1:6" ht="10.8" customHeight="1" x14ac:dyDescent="0.25">
      <c r="A78" s="96">
        <v>113049995</v>
      </c>
      <c r="B78" s="96" t="s">
        <v>307</v>
      </c>
      <c r="C78" s="9" t="s">
        <v>306</v>
      </c>
      <c r="D78" s="102">
        <v>0</v>
      </c>
      <c r="E78" s="102">
        <f t="shared" si="2"/>
        <v>0</v>
      </c>
      <c r="F78" s="92" t="s">
        <v>415</v>
      </c>
    </row>
    <row r="79" spans="1:6" ht="10.8" customHeight="1" x14ac:dyDescent="0.25">
      <c r="A79" s="96">
        <v>113096995</v>
      </c>
      <c r="B79" s="96" t="s">
        <v>305</v>
      </c>
      <c r="C79" s="9" t="s">
        <v>301</v>
      </c>
      <c r="D79" s="102">
        <v>0</v>
      </c>
      <c r="E79" s="102">
        <f t="shared" si="2"/>
        <v>0</v>
      </c>
      <c r="F79" s="92" t="s">
        <v>405</v>
      </c>
    </row>
    <row r="80" spans="1:6" ht="10.8" customHeight="1" x14ac:dyDescent="0.25">
      <c r="A80" s="96">
        <v>113097995</v>
      </c>
      <c r="B80" s="96" t="s">
        <v>304</v>
      </c>
      <c r="C80" s="9" t="s">
        <v>301</v>
      </c>
      <c r="D80" s="102">
        <v>0</v>
      </c>
      <c r="E80" s="102">
        <f t="shared" si="2"/>
        <v>0</v>
      </c>
      <c r="F80" s="92" t="s">
        <v>405</v>
      </c>
    </row>
    <row r="81" spans="1:6" ht="10.8" customHeight="1" x14ac:dyDescent="0.25">
      <c r="A81" s="96">
        <v>113098995</v>
      </c>
      <c r="B81" s="96" t="s">
        <v>303</v>
      </c>
      <c r="C81" s="9" t="s">
        <v>301</v>
      </c>
      <c r="D81" s="102">
        <v>0</v>
      </c>
      <c r="E81" s="102">
        <f t="shared" si="2"/>
        <v>0</v>
      </c>
      <c r="F81" s="92" t="s">
        <v>405</v>
      </c>
    </row>
    <row r="82" spans="1:6" ht="10.8" customHeight="1" x14ac:dyDescent="0.25">
      <c r="A82" s="96">
        <v>113099995</v>
      </c>
      <c r="B82" s="96" t="s">
        <v>302</v>
      </c>
      <c r="C82" s="9" t="s">
        <v>301</v>
      </c>
      <c r="D82" s="102">
        <v>0</v>
      </c>
      <c r="E82" s="102">
        <f t="shared" si="2"/>
        <v>0</v>
      </c>
      <c r="F82" s="92" t="s">
        <v>405</v>
      </c>
    </row>
    <row r="83" spans="1:6" ht="10.8" customHeight="1" x14ac:dyDescent="0.25">
      <c r="A83" s="96">
        <v>114011995</v>
      </c>
      <c r="B83" s="96" t="s">
        <v>300</v>
      </c>
      <c r="C83" s="9" t="s">
        <v>299</v>
      </c>
      <c r="D83" s="102">
        <v>0</v>
      </c>
      <c r="E83" s="102">
        <f t="shared" si="2"/>
        <v>0</v>
      </c>
      <c r="F83" s="92" t="s">
        <v>415</v>
      </c>
    </row>
    <row r="84" spans="1:6" ht="10.8" customHeight="1" x14ac:dyDescent="0.25">
      <c r="A84" s="96">
        <v>114012995</v>
      </c>
      <c r="B84" s="96" t="s">
        <v>298</v>
      </c>
      <c r="C84" s="9" t="s">
        <v>297</v>
      </c>
      <c r="D84" s="102">
        <v>0</v>
      </c>
      <c r="E84" s="102">
        <f t="shared" si="2"/>
        <v>0</v>
      </c>
      <c r="F84" s="92" t="s">
        <v>415</v>
      </c>
    </row>
    <row r="85" spans="1:6" ht="10.8" customHeight="1" x14ac:dyDescent="0.25">
      <c r="A85" s="96">
        <v>114014995</v>
      </c>
      <c r="B85" s="96" t="s">
        <v>296</v>
      </c>
      <c r="C85" s="9" t="s">
        <v>291</v>
      </c>
      <c r="D85" s="102">
        <v>0</v>
      </c>
      <c r="E85" s="102">
        <f t="shared" si="2"/>
        <v>0</v>
      </c>
      <c r="F85" s="92" t="s">
        <v>415</v>
      </c>
    </row>
    <row r="86" spans="1:6" ht="10.8" customHeight="1" x14ac:dyDescent="0.25">
      <c r="A86" s="96">
        <v>114015995</v>
      </c>
      <c r="B86" s="96" t="s">
        <v>295</v>
      </c>
      <c r="C86" s="9" t="s">
        <v>289</v>
      </c>
      <c r="D86" s="102">
        <v>0</v>
      </c>
      <c r="E86" s="102">
        <f t="shared" si="2"/>
        <v>0</v>
      </c>
      <c r="F86" s="92" t="s">
        <v>415</v>
      </c>
    </row>
    <row r="87" spans="1:6" ht="10.8" customHeight="1" x14ac:dyDescent="0.25">
      <c r="A87" s="96">
        <v>114016995</v>
      </c>
      <c r="B87" s="96" t="s">
        <v>294</v>
      </c>
      <c r="C87" s="9" t="s">
        <v>293</v>
      </c>
      <c r="D87" s="102">
        <v>0</v>
      </c>
      <c r="E87" s="102">
        <f t="shared" si="2"/>
        <v>0</v>
      </c>
      <c r="F87" s="92" t="s">
        <v>415</v>
      </c>
    </row>
    <row r="88" spans="1:6" ht="10.8" customHeight="1" x14ac:dyDescent="0.25">
      <c r="A88" s="96">
        <v>114017995</v>
      </c>
      <c r="B88" s="96" t="s">
        <v>292</v>
      </c>
      <c r="C88" s="9" t="s">
        <v>291</v>
      </c>
      <c r="D88" s="102">
        <v>0</v>
      </c>
      <c r="E88" s="102">
        <f t="shared" si="2"/>
        <v>0</v>
      </c>
      <c r="F88" s="92" t="s">
        <v>415</v>
      </c>
    </row>
    <row r="89" spans="1:6" ht="10.8" customHeight="1" x14ac:dyDescent="0.25">
      <c r="A89" s="96">
        <v>114018995</v>
      </c>
      <c r="B89" s="96" t="s">
        <v>290</v>
      </c>
      <c r="C89" s="9" t="s">
        <v>289</v>
      </c>
      <c r="D89" s="102">
        <v>0</v>
      </c>
      <c r="E89" s="102">
        <f t="shared" ref="E89:E120" si="3">-D89*E$6</f>
        <v>0</v>
      </c>
      <c r="F89" s="92" t="s">
        <v>415</v>
      </c>
    </row>
    <row r="90" spans="1:6" ht="10.8" customHeight="1" x14ac:dyDescent="0.25">
      <c r="A90" s="96">
        <v>114019995</v>
      </c>
      <c r="B90" s="96" t="s">
        <v>288</v>
      </c>
      <c r="C90" s="9" t="s">
        <v>287</v>
      </c>
      <c r="D90" s="102">
        <v>0</v>
      </c>
      <c r="E90" s="102">
        <f t="shared" si="3"/>
        <v>0</v>
      </c>
      <c r="F90" s="92" t="s">
        <v>415</v>
      </c>
    </row>
    <row r="91" spans="1:6" ht="10.8" customHeight="1" x14ac:dyDescent="0.25">
      <c r="A91" s="96">
        <v>114026995</v>
      </c>
      <c r="B91" s="96" t="s">
        <v>286</v>
      </c>
      <c r="C91" s="9" t="s">
        <v>282</v>
      </c>
      <c r="D91" s="102">
        <v>0</v>
      </c>
      <c r="E91" s="102">
        <f t="shared" si="3"/>
        <v>0</v>
      </c>
      <c r="F91" s="92" t="s">
        <v>415</v>
      </c>
    </row>
    <row r="92" spans="1:6" ht="10.8" customHeight="1" x14ac:dyDescent="0.25">
      <c r="A92" s="96">
        <v>114027995</v>
      </c>
      <c r="B92" s="96" t="s">
        <v>285</v>
      </c>
      <c r="C92" s="9" t="s">
        <v>282</v>
      </c>
      <c r="D92" s="102">
        <v>0</v>
      </c>
      <c r="E92" s="102">
        <f t="shared" si="3"/>
        <v>0</v>
      </c>
      <c r="F92" s="92" t="s">
        <v>415</v>
      </c>
    </row>
    <row r="93" spans="1:6" ht="10.8" customHeight="1" x14ac:dyDescent="0.25">
      <c r="A93" s="96">
        <v>114028995</v>
      </c>
      <c r="B93" s="96" t="s">
        <v>284</v>
      </c>
      <c r="C93" s="9" t="s">
        <v>282</v>
      </c>
      <c r="D93" s="102">
        <v>0</v>
      </c>
      <c r="E93" s="102">
        <f t="shared" si="3"/>
        <v>0</v>
      </c>
      <c r="F93" s="92" t="s">
        <v>415</v>
      </c>
    </row>
    <row r="94" spans="1:6" ht="10.8" customHeight="1" x14ac:dyDescent="0.25">
      <c r="A94" s="96">
        <v>114029995</v>
      </c>
      <c r="B94" s="96" t="s">
        <v>283</v>
      </c>
      <c r="C94" s="9" t="s">
        <v>282</v>
      </c>
      <c r="D94" s="102">
        <v>0</v>
      </c>
      <c r="E94" s="102">
        <f t="shared" si="3"/>
        <v>0</v>
      </c>
      <c r="F94" s="92" t="s">
        <v>415</v>
      </c>
    </row>
    <row r="95" spans="1:6" ht="10.8" customHeight="1" x14ac:dyDescent="0.25">
      <c r="A95" s="96">
        <v>114036995</v>
      </c>
      <c r="B95" s="96" t="s">
        <v>281</v>
      </c>
      <c r="C95" s="9" t="s">
        <v>277</v>
      </c>
      <c r="D95" s="102">
        <v>0</v>
      </c>
      <c r="E95" s="102">
        <f t="shared" si="3"/>
        <v>0</v>
      </c>
      <c r="F95" s="92" t="s">
        <v>415</v>
      </c>
    </row>
    <row r="96" spans="1:6" ht="10.8" customHeight="1" x14ac:dyDescent="0.25">
      <c r="A96" s="96">
        <v>114037995</v>
      </c>
      <c r="B96" s="96" t="s">
        <v>280</v>
      </c>
      <c r="C96" s="9" t="s">
        <v>277</v>
      </c>
      <c r="D96" s="102">
        <v>0</v>
      </c>
      <c r="E96" s="102">
        <f t="shared" si="3"/>
        <v>0</v>
      </c>
      <c r="F96" s="92" t="s">
        <v>415</v>
      </c>
    </row>
    <row r="97" spans="1:6" ht="10.8" customHeight="1" x14ac:dyDescent="0.25">
      <c r="A97" s="96">
        <v>114038995</v>
      </c>
      <c r="B97" s="96" t="s">
        <v>279</v>
      </c>
      <c r="C97" s="9" t="s">
        <v>277</v>
      </c>
      <c r="D97" s="102">
        <v>0</v>
      </c>
      <c r="E97" s="102">
        <f t="shared" si="3"/>
        <v>0</v>
      </c>
      <c r="F97" s="92" t="s">
        <v>415</v>
      </c>
    </row>
    <row r="98" spans="1:6" ht="10.8" customHeight="1" x14ac:dyDescent="0.25">
      <c r="A98" s="96">
        <v>114039995</v>
      </c>
      <c r="B98" s="96" t="s">
        <v>278</v>
      </c>
      <c r="C98" s="9" t="s">
        <v>277</v>
      </c>
      <c r="D98" s="102">
        <v>0</v>
      </c>
      <c r="E98" s="102">
        <f t="shared" si="3"/>
        <v>0</v>
      </c>
      <c r="F98" s="92" t="s">
        <v>415</v>
      </c>
    </row>
    <row r="99" spans="1:6" ht="10.8" customHeight="1" x14ac:dyDescent="0.25">
      <c r="A99" s="96">
        <v>114051995</v>
      </c>
      <c r="B99" s="96" t="s">
        <v>276</v>
      </c>
      <c r="C99" s="9" t="s">
        <v>275</v>
      </c>
      <c r="D99" s="102">
        <v>0</v>
      </c>
      <c r="E99" s="102">
        <f t="shared" si="3"/>
        <v>0</v>
      </c>
      <c r="F99" s="92" t="s">
        <v>415</v>
      </c>
    </row>
    <row r="100" spans="1:6" ht="10.8" customHeight="1" x14ac:dyDescent="0.25">
      <c r="A100" s="96">
        <v>114052995</v>
      </c>
      <c r="B100" s="96" t="s">
        <v>274</v>
      </c>
      <c r="C100" s="9" t="s">
        <v>271</v>
      </c>
      <c r="D100" s="102">
        <v>0</v>
      </c>
      <c r="E100" s="102">
        <f t="shared" si="3"/>
        <v>0</v>
      </c>
      <c r="F100" s="92" t="s">
        <v>415</v>
      </c>
    </row>
    <row r="101" spans="1:6" ht="10.8" customHeight="1" x14ac:dyDescent="0.25">
      <c r="A101" s="96">
        <v>114054995</v>
      </c>
      <c r="B101" s="96" t="s">
        <v>273</v>
      </c>
      <c r="C101" s="9" t="s">
        <v>269</v>
      </c>
      <c r="D101" s="102">
        <v>0</v>
      </c>
      <c r="E101" s="102">
        <f t="shared" si="3"/>
        <v>0</v>
      </c>
      <c r="F101" s="92" t="s">
        <v>415</v>
      </c>
    </row>
    <row r="102" spans="1:6" ht="10.8" customHeight="1" x14ac:dyDescent="0.25">
      <c r="A102" s="96">
        <v>114056995</v>
      </c>
      <c r="B102" s="96" t="s">
        <v>272</v>
      </c>
      <c r="C102" s="9" t="s">
        <v>271</v>
      </c>
      <c r="D102" s="102">
        <v>0</v>
      </c>
      <c r="E102" s="102">
        <f t="shared" si="3"/>
        <v>0</v>
      </c>
      <c r="F102" s="92" t="s">
        <v>415</v>
      </c>
    </row>
    <row r="103" spans="1:6" ht="10.8" customHeight="1" x14ac:dyDescent="0.25">
      <c r="A103" s="96">
        <v>114057995</v>
      </c>
      <c r="B103" s="96" t="s">
        <v>270</v>
      </c>
      <c r="C103" s="9" t="s">
        <v>269</v>
      </c>
      <c r="D103" s="102">
        <v>0</v>
      </c>
      <c r="E103" s="102">
        <f t="shared" si="3"/>
        <v>0</v>
      </c>
      <c r="F103" s="92" t="s">
        <v>415</v>
      </c>
    </row>
    <row r="104" spans="1:6" ht="10.8" customHeight="1" x14ac:dyDescent="0.25">
      <c r="A104" s="96">
        <v>114058995</v>
      </c>
      <c r="B104" s="96" t="s">
        <v>268</v>
      </c>
      <c r="C104" s="9" t="s">
        <v>266</v>
      </c>
      <c r="D104" s="102">
        <v>0</v>
      </c>
      <c r="E104" s="102">
        <f t="shared" si="3"/>
        <v>0</v>
      </c>
      <c r="F104" s="92" t="s">
        <v>415</v>
      </c>
    </row>
    <row r="105" spans="1:6" ht="10.8" customHeight="1" x14ac:dyDescent="0.25">
      <c r="A105" s="96">
        <v>114059995</v>
      </c>
      <c r="B105" s="96" t="s">
        <v>267</v>
      </c>
      <c r="C105" s="9" t="s">
        <v>266</v>
      </c>
      <c r="D105" s="102">
        <v>0</v>
      </c>
      <c r="E105" s="102">
        <f t="shared" si="3"/>
        <v>0</v>
      </c>
      <c r="F105" s="92" t="s">
        <v>415</v>
      </c>
    </row>
    <row r="106" spans="1:6" ht="10.8" customHeight="1" x14ac:dyDescent="0.25">
      <c r="A106" s="96">
        <v>115071995</v>
      </c>
      <c r="B106" s="96" t="s">
        <v>265</v>
      </c>
      <c r="C106" s="9" t="s">
        <v>264</v>
      </c>
      <c r="D106" s="102">
        <v>0</v>
      </c>
      <c r="E106" s="102">
        <f t="shared" si="3"/>
        <v>0</v>
      </c>
      <c r="F106" s="92" t="s">
        <v>415</v>
      </c>
    </row>
    <row r="107" spans="1:6" ht="10.8" customHeight="1" x14ac:dyDescent="0.25">
      <c r="A107" s="96">
        <v>171016995</v>
      </c>
      <c r="B107" s="96" t="s">
        <v>263</v>
      </c>
      <c r="C107" s="9" t="s">
        <v>259</v>
      </c>
      <c r="D107" s="102">
        <v>0</v>
      </c>
      <c r="E107" s="102">
        <f t="shared" si="3"/>
        <v>0</v>
      </c>
      <c r="F107" s="92" t="s">
        <v>415</v>
      </c>
    </row>
    <row r="108" spans="1:6" ht="10.8" customHeight="1" x14ac:dyDescent="0.25">
      <c r="A108" s="96">
        <v>171017995</v>
      </c>
      <c r="B108" s="96" t="s">
        <v>262</v>
      </c>
      <c r="C108" s="9" t="s">
        <v>259</v>
      </c>
      <c r="D108" s="102">
        <v>0</v>
      </c>
      <c r="E108" s="102">
        <f t="shared" si="3"/>
        <v>0</v>
      </c>
      <c r="F108" s="92" t="s">
        <v>415</v>
      </c>
    </row>
    <row r="109" spans="1:6" ht="10.8" customHeight="1" x14ac:dyDescent="0.25">
      <c r="A109" s="96">
        <v>171018995</v>
      </c>
      <c r="B109" s="96" t="s">
        <v>261</v>
      </c>
      <c r="C109" s="9" t="s">
        <v>259</v>
      </c>
      <c r="D109" s="102">
        <v>0</v>
      </c>
      <c r="E109" s="102">
        <f t="shared" si="3"/>
        <v>0</v>
      </c>
      <c r="F109" s="92" t="s">
        <v>415</v>
      </c>
    </row>
    <row r="110" spans="1:6" ht="10.8" customHeight="1" x14ac:dyDescent="0.25">
      <c r="A110" s="96">
        <v>171019995</v>
      </c>
      <c r="B110" s="96" t="s">
        <v>260</v>
      </c>
      <c r="C110" s="9" t="s">
        <v>259</v>
      </c>
      <c r="D110" s="102">
        <v>0</v>
      </c>
      <c r="E110" s="102">
        <f t="shared" si="3"/>
        <v>0</v>
      </c>
      <c r="F110" s="92" t="s">
        <v>415</v>
      </c>
    </row>
    <row r="111" spans="1:6" ht="10.8" customHeight="1" x14ac:dyDescent="0.25">
      <c r="A111" s="96">
        <v>211016995</v>
      </c>
      <c r="B111" s="96" t="s">
        <v>258</v>
      </c>
      <c r="C111" s="9" t="s">
        <v>254</v>
      </c>
      <c r="D111" s="102">
        <v>0</v>
      </c>
      <c r="E111" s="102">
        <f t="shared" si="3"/>
        <v>0</v>
      </c>
      <c r="F111" s="92" t="s">
        <v>405</v>
      </c>
    </row>
    <row r="112" spans="1:6" ht="10.8" customHeight="1" x14ac:dyDescent="0.25">
      <c r="A112" s="96">
        <v>211017995</v>
      </c>
      <c r="B112" s="96" t="s">
        <v>257</v>
      </c>
      <c r="C112" s="9" t="s">
        <v>254</v>
      </c>
      <c r="D112" s="102">
        <v>0</v>
      </c>
      <c r="E112" s="102">
        <f t="shared" si="3"/>
        <v>0</v>
      </c>
      <c r="F112" s="92" t="s">
        <v>405</v>
      </c>
    </row>
    <row r="113" spans="1:6" ht="10.8" customHeight="1" x14ac:dyDescent="0.25">
      <c r="A113" s="96">
        <v>211018995</v>
      </c>
      <c r="B113" s="96" t="s">
        <v>256</v>
      </c>
      <c r="C113" s="9" t="s">
        <v>254</v>
      </c>
      <c r="D113" s="102">
        <v>0</v>
      </c>
      <c r="E113" s="102">
        <f t="shared" si="3"/>
        <v>0</v>
      </c>
      <c r="F113" s="92" t="s">
        <v>405</v>
      </c>
    </row>
    <row r="114" spans="1:6" ht="10.8" customHeight="1" x14ac:dyDescent="0.25">
      <c r="A114" s="96">
        <v>211019995</v>
      </c>
      <c r="B114" s="96" t="s">
        <v>255</v>
      </c>
      <c r="C114" s="9" t="s">
        <v>254</v>
      </c>
      <c r="D114" s="102">
        <v>0</v>
      </c>
      <c r="E114" s="102">
        <f t="shared" si="3"/>
        <v>0</v>
      </c>
      <c r="F114" s="92" t="s">
        <v>405</v>
      </c>
    </row>
    <row r="115" spans="1:6" ht="10.8" customHeight="1" x14ac:dyDescent="0.25">
      <c r="A115" s="96">
        <v>212013995</v>
      </c>
      <c r="B115" s="96" t="s">
        <v>253</v>
      </c>
      <c r="C115" s="9" t="s">
        <v>248</v>
      </c>
      <c r="D115" s="102">
        <v>0</v>
      </c>
      <c r="E115" s="102">
        <f t="shared" si="3"/>
        <v>0</v>
      </c>
      <c r="F115" s="92" t="s">
        <v>405</v>
      </c>
    </row>
    <row r="116" spans="1:6" ht="10.8" customHeight="1" x14ac:dyDescent="0.25">
      <c r="A116" s="96">
        <v>212016995</v>
      </c>
      <c r="B116" s="96" t="s">
        <v>252</v>
      </c>
      <c r="C116" s="9" t="s">
        <v>248</v>
      </c>
      <c r="D116" s="102">
        <v>0</v>
      </c>
      <c r="E116" s="102">
        <f t="shared" si="3"/>
        <v>0</v>
      </c>
      <c r="F116" s="92" t="s">
        <v>405</v>
      </c>
    </row>
    <row r="117" spans="1:6" ht="10.8" customHeight="1" x14ac:dyDescent="0.25">
      <c r="A117" s="96">
        <v>212017995</v>
      </c>
      <c r="B117" s="96" t="s">
        <v>251</v>
      </c>
      <c r="C117" s="9" t="s">
        <v>248</v>
      </c>
      <c r="D117" s="102">
        <v>0</v>
      </c>
      <c r="E117" s="102">
        <f t="shared" si="3"/>
        <v>0</v>
      </c>
      <c r="F117" s="92" t="s">
        <v>405</v>
      </c>
    </row>
    <row r="118" spans="1:6" ht="10.8" customHeight="1" x14ac:dyDescent="0.25">
      <c r="A118" s="96">
        <v>212018995</v>
      </c>
      <c r="B118" s="96" t="s">
        <v>250</v>
      </c>
      <c r="C118" s="9" t="s">
        <v>248</v>
      </c>
      <c r="D118" s="102">
        <v>0</v>
      </c>
      <c r="E118" s="102">
        <f t="shared" si="3"/>
        <v>0</v>
      </c>
      <c r="F118" s="92" t="s">
        <v>405</v>
      </c>
    </row>
    <row r="119" spans="1:6" ht="10.8" customHeight="1" x14ac:dyDescent="0.25">
      <c r="A119" s="96">
        <v>212019995</v>
      </c>
      <c r="B119" s="96" t="s">
        <v>249</v>
      </c>
      <c r="C119" s="9" t="s">
        <v>248</v>
      </c>
      <c r="D119" s="102">
        <v>0</v>
      </c>
      <c r="E119" s="102">
        <f t="shared" si="3"/>
        <v>0</v>
      </c>
      <c r="F119" s="92" t="s">
        <v>405</v>
      </c>
    </row>
    <row r="120" spans="1:6" ht="10.8" customHeight="1" x14ac:dyDescent="0.25">
      <c r="A120" s="96">
        <v>212051995</v>
      </c>
      <c r="B120" s="96" t="s">
        <v>247</v>
      </c>
      <c r="C120" s="9" t="s">
        <v>246</v>
      </c>
      <c r="D120" s="102">
        <v>0</v>
      </c>
      <c r="E120" s="102">
        <f t="shared" si="3"/>
        <v>0</v>
      </c>
      <c r="F120" s="92" t="s">
        <v>405</v>
      </c>
    </row>
    <row r="121" spans="1:6" ht="10.8" customHeight="1" x14ac:dyDescent="0.25">
      <c r="A121" s="96">
        <v>212052995</v>
      </c>
      <c r="B121" s="96" t="s">
        <v>245</v>
      </c>
      <c r="C121" s="9" t="s">
        <v>244</v>
      </c>
      <c r="D121" s="102">
        <v>0</v>
      </c>
      <c r="E121" s="102">
        <f t="shared" ref="E121:E142" si="4">-D121*E$6</f>
        <v>0</v>
      </c>
      <c r="F121" s="92" t="s">
        <v>405</v>
      </c>
    </row>
    <row r="122" spans="1:6" ht="10.8" customHeight="1" x14ac:dyDescent="0.25">
      <c r="A122" s="96">
        <v>212055995</v>
      </c>
      <c r="B122" s="96" t="s">
        <v>243</v>
      </c>
      <c r="C122" s="9" t="s">
        <v>237</v>
      </c>
      <c r="D122" s="102">
        <v>0</v>
      </c>
      <c r="E122" s="102">
        <f t="shared" si="4"/>
        <v>0</v>
      </c>
      <c r="F122" s="92" t="s">
        <v>405</v>
      </c>
    </row>
    <row r="123" spans="1:6" ht="10.8" customHeight="1" x14ac:dyDescent="0.25">
      <c r="A123" s="96">
        <v>212056995</v>
      </c>
      <c r="B123" s="96" t="s">
        <v>242</v>
      </c>
      <c r="C123" s="9" t="s">
        <v>241</v>
      </c>
      <c r="D123" s="102">
        <v>0</v>
      </c>
      <c r="E123" s="102">
        <f t="shared" si="4"/>
        <v>0</v>
      </c>
      <c r="F123" s="92" t="s">
        <v>405</v>
      </c>
    </row>
    <row r="124" spans="1:6" ht="10.8" customHeight="1" x14ac:dyDescent="0.25">
      <c r="A124" s="96">
        <v>212057995</v>
      </c>
      <c r="B124" s="96" t="s">
        <v>240</v>
      </c>
      <c r="C124" s="9" t="s">
        <v>239</v>
      </c>
      <c r="D124" s="102">
        <v>0</v>
      </c>
      <c r="E124" s="102">
        <f t="shared" si="4"/>
        <v>0</v>
      </c>
      <c r="F124" s="92" t="s">
        <v>405</v>
      </c>
    </row>
    <row r="125" spans="1:6" ht="10.8" customHeight="1" x14ac:dyDescent="0.25">
      <c r="A125" s="96">
        <v>212058995</v>
      </c>
      <c r="B125" s="96" t="s">
        <v>238</v>
      </c>
      <c r="C125" s="9" t="s">
        <v>237</v>
      </c>
      <c r="D125" s="102">
        <v>0</v>
      </c>
      <c r="E125" s="102">
        <f t="shared" si="4"/>
        <v>0</v>
      </c>
      <c r="F125" s="92" t="s">
        <v>405</v>
      </c>
    </row>
    <row r="126" spans="1:6" ht="10.8" customHeight="1" x14ac:dyDescent="0.25">
      <c r="A126" s="96">
        <v>212059995</v>
      </c>
      <c r="B126" s="96" t="s">
        <v>236</v>
      </c>
      <c r="C126" s="9" t="s">
        <v>235</v>
      </c>
      <c r="D126" s="102">
        <v>0</v>
      </c>
      <c r="E126" s="102">
        <f t="shared" si="4"/>
        <v>0</v>
      </c>
      <c r="F126" s="92" t="s">
        <v>405</v>
      </c>
    </row>
    <row r="127" spans="1:6" ht="10.8" customHeight="1" x14ac:dyDescent="0.25">
      <c r="A127" s="96">
        <v>212061995</v>
      </c>
      <c r="B127" s="96" t="s">
        <v>234</v>
      </c>
      <c r="C127" s="9" t="s">
        <v>233</v>
      </c>
      <c r="D127" s="102">
        <v>0</v>
      </c>
      <c r="E127" s="102">
        <f t="shared" si="4"/>
        <v>0</v>
      </c>
      <c r="F127" s="92" t="s">
        <v>405</v>
      </c>
    </row>
    <row r="128" spans="1:6" ht="10.8" customHeight="1" x14ac:dyDescent="0.25">
      <c r="A128" s="96">
        <v>212066995</v>
      </c>
      <c r="B128" s="96" t="s">
        <v>232</v>
      </c>
      <c r="C128" s="9" t="s">
        <v>228</v>
      </c>
      <c r="D128" s="102">
        <v>0</v>
      </c>
      <c r="E128" s="102">
        <f t="shared" si="4"/>
        <v>0</v>
      </c>
      <c r="F128" s="92" t="s">
        <v>405</v>
      </c>
    </row>
    <row r="129" spans="1:6" ht="10.8" customHeight="1" x14ac:dyDescent="0.25">
      <c r="A129" s="96">
        <v>212067995</v>
      </c>
      <c r="B129" s="96" t="s">
        <v>231</v>
      </c>
      <c r="C129" s="9" t="s">
        <v>228</v>
      </c>
      <c r="D129" s="102">
        <v>0</v>
      </c>
      <c r="E129" s="102">
        <f t="shared" si="4"/>
        <v>0</v>
      </c>
      <c r="F129" s="92" t="s">
        <v>405</v>
      </c>
    </row>
    <row r="130" spans="1:6" ht="10.8" customHeight="1" x14ac:dyDescent="0.25">
      <c r="A130" s="96">
        <v>212068995</v>
      </c>
      <c r="B130" s="96" t="s">
        <v>230</v>
      </c>
      <c r="C130" s="9" t="s">
        <v>228</v>
      </c>
      <c r="D130" s="102">
        <v>0</v>
      </c>
      <c r="E130" s="102">
        <f t="shared" si="4"/>
        <v>0</v>
      </c>
      <c r="F130" s="92" t="s">
        <v>405</v>
      </c>
    </row>
    <row r="131" spans="1:6" ht="10.8" customHeight="1" x14ac:dyDescent="0.25">
      <c r="A131" s="96">
        <v>212069995</v>
      </c>
      <c r="B131" s="96" t="s">
        <v>229</v>
      </c>
      <c r="C131" s="9" t="s">
        <v>228</v>
      </c>
      <c r="D131" s="102">
        <v>0</v>
      </c>
      <c r="E131" s="102">
        <f t="shared" si="4"/>
        <v>0</v>
      </c>
      <c r="F131" s="92" t="s">
        <v>405</v>
      </c>
    </row>
    <row r="132" spans="1:6" ht="10.8" customHeight="1" x14ac:dyDescent="0.25">
      <c r="A132" s="96">
        <v>212071995</v>
      </c>
      <c r="B132" s="96" t="s">
        <v>227</v>
      </c>
      <c r="C132" s="9" t="s">
        <v>218</v>
      </c>
      <c r="D132" s="102">
        <v>0</v>
      </c>
      <c r="E132" s="102">
        <f t="shared" si="4"/>
        <v>0</v>
      </c>
      <c r="F132" s="92" t="s">
        <v>405</v>
      </c>
    </row>
    <row r="133" spans="1:6" ht="10.8" customHeight="1" x14ac:dyDescent="0.25">
      <c r="A133" s="96">
        <v>212072995</v>
      </c>
      <c r="B133" s="96" t="s">
        <v>226</v>
      </c>
      <c r="C133" s="9" t="s">
        <v>218</v>
      </c>
      <c r="D133" s="102">
        <v>0</v>
      </c>
      <c r="E133" s="102">
        <f t="shared" si="4"/>
        <v>0</v>
      </c>
      <c r="F133" s="92" t="s">
        <v>405</v>
      </c>
    </row>
    <row r="134" spans="1:6" ht="10.8" customHeight="1" x14ac:dyDescent="0.25">
      <c r="A134" s="96">
        <v>212076995</v>
      </c>
      <c r="B134" s="96" t="s">
        <v>225</v>
      </c>
      <c r="C134" s="9" t="s">
        <v>224</v>
      </c>
      <c r="D134" s="102">
        <v>0</v>
      </c>
      <c r="E134" s="102">
        <f t="shared" si="4"/>
        <v>0</v>
      </c>
      <c r="F134" s="92" t="s">
        <v>405</v>
      </c>
    </row>
    <row r="135" spans="1:6" ht="10.8" customHeight="1" x14ac:dyDescent="0.25">
      <c r="A135" s="96">
        <v>212077995</v>
      </c>
      <c r="B135" s="96" t="s">
        <v>223</v>
      </c>
      <c r="C135" s="9" t="s">
        <v>222</v>
      </c>
      <c r="D135" s="102">
        <v>0</v>
      </c>
      <c r="E135" s="102">
        <f t="shared" si="4"/>
        <v>0</v>
      </c>
      <c r="F135" s="92" t="s">
        <v>405</v>
      </c>
    </row>
    <row r="136" spans="1:6" ht="10.8" customHeight="1" x14ac:dyDescent="0.25">
      <c r="A136" s="96">
        <v>212078995</v>
      </c>
      <c r="B136" s="96" t="s">
        <v>221</v>
      </c>
      <c r="C136" s="9" t="s">
        <v>220</v>
      </c>
      <c r="D136" s="102">
        <v>0</v>
      </c>
      <c r="E136" s="102">
        <f t="shared" si="4"/>
        <v>0</v>
      </c>
      <c r="F136" s="92" t="s">
        <v>405</v>
      </c>
    </row>
    <row r="137" spans="1:6" ht="10.8" customHeight="1" x14ac:dyDescent="0.25">
      <c r="A137" s="96">
        <v>212079995</v>
      </c>
      <c r="B137" s="96" t="s">
        <v>219</v>
      </c>
      <c r="C137" s="9" t="s">
        <v>218</v>
      </c>
      <c r="D137" s="102">
        <v>0</v>
      </c>
      <c r="E137" s="102">
        <f t="shared" si="4"/>
        <v>0</v>
      </c>
      <c r="F137" s="92" t="s">
        <v>405</v>
      </c>
    </row>
    <row r="138" spans="1:6" ht="10.8" customHeight="1" x14ac:dyDescent="0.25">
      <c r="A138" s="96">
        <v>212091995</v>
      </c>
      <c r="B138" s="96" t="s">
        <v>217</v>
      </c>
      <c r="C138" s="9" t="s">
        <v>216</v>
      </c>
      <c r="D138" s="102">
        <v>0</v>
      </c>
      <c r="E138" s="102">
        <f t="shared" si="4"/>
        <v>0</v>
      </c>
      <c r="F138" s="92" t="s">
        <v>405</v>
      </c>
    </row>
    <row r="139" spans="1:6" ht="10.8" customHeight="1" x14ac:dyDescent="0.25">
      <c r="A139" s="96">
        <v>212096995</v>
      </c>
      <c r="B139" s="96" t="s">
        <v>215</v>
      </c>
      <c r="C139" s="9" t="s">
        <v>214</v>
      </c>
      <c r="D139" s="102">
        <v>0</v>
      </c>
      <c r="E139" s="102">
        <f t="shared" si="4"/>
        <v>0</v>
      </c>
      <c r="F139" s="92" t="s">
        <v>405</v>
      </c>
    </row>
    <row r="140" spans="1:6" ht="10.8" customHeight="1" x14ac:dyDescent="0.25">
      <c r="A140" s="96">
        <v>212097995</v>
      </c>
      <c r="B140" s="96" t="s">
        <v>213</v>
      </c>
      <c r="C140" s="9" t="s">
        <v>212</v>
      </c>
      <c r="D140" s="102">
        <v>0</v>
      </c>
      <c r="E140" s="102">
        <f t="shared" si="4"/>
        <v>0</v>
      </c>
      <c r="F140" s="92" t="s">
        <v>405</v>
      </c>
    </row>
    <row r="141" spans="1:6" ht="10.8" customHeight="1" x14ac:dyDescent="0.25">
      <c r="A141" s="96">
        <v>212098995</v>
      </c>
      <c r="B141" s="96" t="s">
        <v>211</v>
      </c>
      <c r="C141" s="9" t="s">
        <v>209</v>
      </c>
      <c r="D141" s="102">
        <v>0</v>
      </c>
      <c r="E141" s="102">
        <f t="shared" si="4"/>
        <v>0</v>
      </c>
      <c r="F141" s="92" t="s">
        <v>405</v>
      </c>
    </row>
    <row r="142" spans="1:6" ht="10.8" customHeight="1" x14ac:dyDescent="0.25">
      <c r="A142" s="96">
        <v>212099995</v>
      </c>
      <c r="B142" s="96" t="s">
        <v>210</v>
      </c>
      <c r="C142" s="9" t="s">
        <v>209</v>
      </c>
      <c r="D142" s="102">
        <v>0</v>
      </c>
      <c r="E142" s="102">
        <f t="shared" si="4"/>
        <v>0</v>
      </c>
      <c r="F142" s="92" t="s">
        <v>405</v>
      </c>
    </row>
    <row r="143" spans="1:6" ht="10.8" customHeight="1" x14ac:dyDescent="0.25">
      <c r="A143" s="9"/>
      <c r="B143" s="96" t="s">
        <v>12</v>
      </c>
      <c r="C143" s="103" t="s">
        <v>127</v>
      </c>
      <c r="D143" s="102">
        <f>SUM(D25:D142)</f>
        <v>0</v>
      </c>
      <c r="E143" s="102">
        <f>SUM(E25:E142)</f>
        <v>0</v>
      </c>
    </row>
    <row r="144" spans="1:6" ht="10.8" customHeight="1" x14ac:dyDescent="0.25">
      <c r="A144" s="9"/>
      <c r="B144" s="96" t="s">
        <v>26</v>
      </c>
      <c r="C144" s="9"/>
      <c r="D144" s="102"/>
      <c r="E144" s="102"/>
    </row>
    <row r="145" spans="1:6" ht="10.8" customHeight="1" x14ac:dyDescent="0.25">
      <c r="A145" s="99" t="s">
        <v>208</v>
      </c>
      <c r="B145" s="96"/>
      <c r="C145" s="9"/>
      <c r="D145" s="102"/>
      <c r="E145" s="102"/>
    </row>
    <row r="146" spans="1:6" ht="10.8" customHeight="1" x14ac:dyDescent="0.25">
      <c r="A146" s="96">
        <v>212051069</v>
      </c>
      <c r="B146" s="96" t="s">
        <v>207</v>
      </c>
      <c r="C146" s="9" t="s">
        <v>206</v>
      </c>
      <c r="D146" s="102">
        <v>0</v>
      </c>
      <c r="E146" s="102">
        <f>-D146*E$6</f>
        <v>0</v>
      </c>
    </row>
    <row r="147" spans="1:6" ht="10.8" customHeight="1" x14ac:dyDescent="0.25">
      <c r="A147" s="96">
        <v>212053001</v>
      </c>
      <c r="B147" s="96" t="s">
        <v>205</v>
      </c>
      <c r="C147" s="9" t="s">
        <v>204</v>
      </c>
      <c r="D147" s="102">
        <v>0</v>
      </c>
      <c r="E147" s="102">
        <f>-D147*E$6</f>
        <v>0</v>
      </c>
    </row>
    <row r="148" spans="1:6" ht="10.8" customHeight="1" x14ac:dyDescent="0.25">
      <c r="A148" s="96">
        <v>212053002</v>
      </c>
      <c r="B148" s="96" t="s">
        <v>203</v>
      </c>
      <c r="C148" s="9" t="s">
        <v>202</v>
      </c>
      <c r="D148" s="102">
        <v>0</v>
      </c>
      <c r="E148" s="102">
        <f>-D148*E$6</f>
        <v>0</v>
      </c>
    </row>
    <row r="149" spans="1:6" ht="10.8" customHeight="1" x14ac:dyDescent="0.25">
      <c r="A149" s="96">
        <v>212053004</v>
      </c>
      <c r="B149" s="96"/>
      <c r="C149" s="9" t="s">
        <v>468</v>
      </c>
      <c r="D149" s="102">
        <v>0</v>
      </c>
      <c r="E149" s="102">
        <f t="shared" ref="E149:E152" si="5">-D149*E$6</f>
        <v>0</v>
      </c>
    </row>
    <row r="150" spans="1:6" ht="10.8" customHeight="1" x14ac:dyDescent="0.25">
      <c r="A150" s="96">
        <v>212091006</v>
      </c>
      <c r="B150" s="96" t="s">
        <v>201</v>
      </c>
      <c r="C150" s="9" t="s">
        <v>200</v>
      </c>
      <c r="D150" s="102">
        <v>0</v>
      </c>
      <c r="E150" s="102">
        <f t="shared" si="5"/>
        <v>0</v>
      </c>
    </row>
    <row r="151" spans="1:6" ht="10.8" customHeight="1" x14ac:dyDescent="0.25">
      <c r="A151" s="96">
        <v>212091010</v>
      </c>
      <c r="B151" s="96" t="s">
        <v>199</v>
      </c>
      <c r="C151" s="9" t="s">
        <v>198</v>
      </c>
      <c r="D151" s="102">
        <v>0</v>
      </c>
      <c r="E151" s="102">
        <f t="shared" si="5"/>
        <v>0</v>
      </c>
    </row>
    <row r="152" spans="1:6" ht="10.8" customHeight="1" x14ac:dyDescent="0.25">
      <c r="A152" s="96">
        <v>212096006</v>
      </c>
      <c r="B152" s="96"/>
      <c r="C152" s="9" t="s">
        <v>200</v>
      </c>
      <c r="D152" s="102">
        <v>0</v>
      </c>
      <c r="E152" s="102">
        <f t="shared" si="5"/>
        <v>0</v>
      </c>
    </row>
    <row r="153" spans="1:6" ht="10.8" customHeight="1" x14ac:dyDescent="0.25">
      <c r="A153" s="9"/>
      <c r="B153" s="96" t="s">
        <v>12</v>
      </c>
      <c r="C153" s="103" t="s">
        <v>127</v>
      </c>
      <c r="D153" s="102">
        <f>SUM(D146:D152)</f>
        <v>0</v>
      </c>
      <c r="E153" s="102">
        <f>SUM(E146:E152)</f>
        <v>0</v>
      </c>
      <c r="F153" s="92" t="s">
        <v>405</v>
      </c>
    </row>
    <row r="154" spans="1:6" ht="10.8" customHeight="1" x14ac:dyDescent="0.25">
      <c r="A154" s="9"/>
      <c r="B154" s="96" t="s">
        <v>26</v>
      </c>
      <c r="C154" s="9"/>
      <c r="D154" s="102"/>
      <c r="E154" s="102"/>
    </row>
    <row r="155" spans="1:6" ht="10.8" customHeight="1" x14ac:dyDescent="0.25">
      <c r="A155" s="99" t="s">
        <v>197</v>
      </c>
      <c r="B155" s="96"/>
      <c r="C155" s="9"/>
      <c r="D155" s="102"/>
      <c r="E155" s="102"/>
    </row>
    <row r="156" spans="1:6" ht="10.8" customHeight="1" x14ac:dyDescent="0.25">
      <c r="A156" s="96">
        <v>114011303</v>
      </c>
      <c r="B156" s="96" t="s">
        <v>196</v>
      </c>
      <c r="C156" s="9" t="s">
        <v>195</v>
      </c>
      <c r="D156" s="102">
        <v>0</v>
      </c>
      <c r="E156" s="102">
        <f>-D156*E$6</f>
        <v>0</v>
      </c>
    </row>
    <row r="157" spans="1:6" ht="10.8" customHeight="1" x14ac:dyDescent="0.25">
      <c r="A157" s="9"/>
      <c r="B157" s="96" t="s">
        <v>12</v>
      </c>
      <c r="C157" s="103" t="s">
        <v>127</v>
      </c>
      <c r="D157" s="102">
        <f>SUM(D156:D156)</f>
        <v>0</v>
      </c>
      <c r="E157" s="102">
        <f>SUM(E156:E156)</f>
        <v>0</v>
      </c>
      <c r="F157" s="92" t="s">
        <v>415</v>
      </c>
    </row>
    <row r="158" spans="1:6" ht="10.8" customHeight="1" x14ac:dyDescent="0.25">
      <c r="A158" s="9"/>
      <c r="B158" s="96" t="s">
        <v>26</v>
      </c>
      <c r="C158" s="9"/>
      <c r="D158" s="102"/>
      <c r="E158" s="102"/>
    </row>
    <row r="159" spans="1:6" ht="10.8" customHeight="1" x14ac:dyDescent="0.25">
      <c r="A159" s="99" t="s">
        <v>194</v>
      </c>
      <c r="B159" s="96"/>
      <c r="C159" s="9"/>
      <c r="D159" s="102"/>
      <c r="E159" s="102"/>
    </row>
    <row r="160" spans="1:6" ht="10.8" customHeight="1" x14ac:dyDescent="0.25">
      <c r="A160" s="96">
        <v>212093001</v>
      </c>
      <c r="B160" s="96" t="s">
        <v>193</v>
      </c>
      <c r="C160" s="9" t="s">
        <v>189</v>
      </c>
      <c r="D160" s="102">
        <v>0</v>
      </c>
      <c r="E160" s="102">
        <f>-D160*E$6</f>
        <v>0</v>
      </c>
    </row>
    <row r="161" spans="1:6" ht="10.8" customHeight="1" x14ac:dyDescent="0.25">
      <c r="A161" s="96">
        <v>212093101</v>
      </c>
      <c r="B161" s="96" t="s">
        <v>192</v>
      </c>
      <c r="C161" s="9" t="s">
        <v>189</v>
      </c>
      <c r="D161" s="102">
        <v>0</v>
      </c>
      <c r="E161" s="102">
        <f>-D161*E$6</f>
        <v>0</v>
      </c>
    </row>
    <row r="162" spans="1:6" ht="10.8" customHeight="1" x14ac:dyDescent="0.25">
      <c r="A162" s="96">
        <v>212093201</v>
      </c>
      <c r="B162" s="96" t="s">
        <v>191</v>
      </c>
      <c r="C162" s="9" t="s">
        <v>189</v>
      </c>
      <c r="D162" s="102">
        <v>0</v>
      </c>
      <c r="E162" s="102">
        <f>-D162*E$6</f>
        <v>0</v>
      </c>
    </row>
    <row r="163" spans="1:6" ht="10.8" customHeight="1" x14ac:dyDescent="0.25">
      <c r="A163" s="96">
        <v>212093301</v>
      </c>
      <c r="B163" s="96" t="s">
        <v>190</v>
      </c>
      <c r="C163" s="9" t="s">
        <v>189</v>
      </c>
      <c r="D163" s="102">
        <v>0</v>
      </c>
      <c r="E163" s="102">
        <f>-D163*E$6</f>
        <v>0</v>
      </c>
    </row>
    <row r="164" spans="1:6" ht="10.8" customHeight="1" x14ac:dyDescent="0.25">
      <c r="A164" s="96">
        <v>212097001</v>
      </c>
      <c r="B164" s="96" t="s">
        <v>188</v>
      </c>
      <c r="C164" s="9" t="s">
        <v>187</v>
      </c>
      <c r="D164" s="102">
        <v>0</v>
      </c>
      <c r="E164" s="102">
        <f>-D164*E$6</f>
        <v>0</v>
      </c>
    </row>
    <row r="165" spans="1:6" ht="10.8" customHeight="1" x14ac:dyDescent="0.25">
      <c r="A165" s="9"/>
      <c r="B165" s="96" t="s">
        <v>12</v>
      </c>
      <c r="C165" s="103" t="s">
        <v>127</v>
      </c>
      <c r="D165" s="102">
        <f>SUM(D160:D164)</f>
        <v>0</v>
      </c>
      <c r="E165" s="102">
        <f>SUM(E160:E164)</f>
        <v>0</v>
      </c>
      <c r="F165" s="92" t="s">
        <v>405</v>
      </c>
    </row>
    <row r="166" spans="1:6" ht="10.8" customHeight="1" x14ac:dyDescent="0.25">
      <c r="A166" s="9"/>
      <c r="B166" s="96" t="s">
        <v>26</v>
      </c>
      <c r="C166" s="9"/>
      <c r="D166" s="102"/>
      <c r="E166" s="102"/>
    </row>
    <row r="167" spans="1:6" ht="10.8" customHeight="1" x14ac:dyDescent="0.25">
      <c r="A167" s="99" t="s">
        <v>186</v>
      </c>
      <c r="B167" s="96"/>
      <c r="C167" s="9"/>
      <c r="D167" s="102"/>
      <c r="E167" s="102"/>
    </row>
    <row r="168" spans="1:6" ht="10.8" customHeight="1" x14ac:dyDescent="0.25">
      <c r="A168" s="96">
        <v>212093002</v>
      </c>
      <c r="B168" s="96" t="s">
        <v>185</v>
      </c>
      <c r="C168" s="9" t="s">
        <v>181</v>
      </c>
      <c r="D168" s="102">
        <v>0</v>
      </c>
      <c r="E168" s="102">
        <f>-D168*E$6</f>
        <v>0</v>
      </c>
    </row>
    <row r="169" spans="1:6" ht="10.8" customHeight="1" x14ac:dyDescent="0.25">
      <c r="A169" s="96">
        <v>212093102</v>
      </c>
      <c r="B169" s="96" t="s">
        <v>184</v>
      </c>
      <c r="C169" s="9" t="s">
        <v>181</v>
      </c>
      <c r="D169" s="102">
        <v>0</v>
      </c>
      <c r="E169" s="102">
        <f>-D169*E$6</f>
        <v>0</v>
      </c>
    </row>
    <row r="170" spans="1:6" ht="10.8" customHeight="1" x14ac:dyDescent="0.25">
      <c r="A170" s="96">
        <v>212093202</v>
      </c>
      <c r="B170" s="96" t="s">
        <v>183</v>
      </c>
      <c r="C170" s="9" t="s">
        <v>181</v>
      </c>
      <c r="D170" s="102">
        <v>0</v>
      </c>
      <c r="E170" s="102">
        <f>-D170*E$6</f>
        <v>0</v>
      </c>
    </row>
    <row r="171" spans="1:6" ht="10.8" customHeight="1" x14ac:dyDescent="0.25">
      <c r="A171" s="96">
        <v>212093302</v>
      </c>
      <c r="B171" s="96" t="s">
        <v>182</v>
      </c>
      <c r="C171" s="9" t="s">
        <v>181</v>
      </c>
      <c r="D171" s="102">
        <v>0</v>
      </c>
      <c r="E171" s="102">
        <f>-D171*E$6</f>
        <v>0</v>
      </c>
    </row>
    <row r="172" spans="1:6" ht="10.8" customHeight="1" x14ac:dyDescent="0.25">
      <c r="A172" s="96">
        <v>212097002</v>
      </c>
      <c r="B172" s="96" t="s">
        <v>180</v>
      </c>
      <c r="C172" s="9" t="s">
        <v>179</v>
      </c>
      <c r="D172" s="102">
        <v>0</v>
      </c>
      <c r="E172" s="102">
        <f>-D172*E$6</f>
        <v>0</v>
      </c>
    </row>
    <row r="173" spans="1:6" ht="10.8" customHeight="1" x14ac:dyDescent="0.25">
      <c r="A173" s="9"/>
      <c r="B173" s="96" t="s">
        <v>12</v>
      </c>
      <c r="C173" s="103" t="s">
        <v>127</v>
      </c>
      <c r="D173" s="102">
        <f>SUM(D168:D172)</f>
        <v>0</v>
      </c>
      <c r="E173" s="102">
        <f>SUM(E168:E172)</f>
        <v>0</v>
      </c>
      <c r="F173" s="92" t="s">
        <v>405</v>
      </c>
    </row>
    <row r="174" spans="1:6" ht="10.8" customHeight="1" x14ac:dyDescent="0.25">
      <c r="A174" s="105"/>
      <c r="B174" s="96" t="s">
        <v>26</v>
      </c>
      <c r="C174" s="105"/>
      <c r="D174" s="105"/>
      <c r="E174" s="105"/>
    </row>
    <row r="175" spans="1:6" ht="10.8" customHeight="1" x14ac:dyDescent="0.25">
      <c r="A175" s="106" t="s">
        <v>414</v>
      </c>
      <c r="B175" s="96" t="s">
        <v>26</v>
      </c>
      <c r="C175" s="105"/>
      <c r="D175" s="105"/>
      <c r="E175" s="105"/>
    </row>
    <row r="176" spans="1:6" ht="10.8" customHeight="1" x14ac:dyDescent="0.25">
      <c r="A176" s="96">
        <v>113091001</v>
      </c>
      <c r="B176" s="96" t="s">
        <v>413</v>
      </c>
      <c r="C176" s="9" t="s">
        <v>421</v>
      </c>
      <c r="D176" s="102">
        <v>0</v>
      </c>
      <c r="E176" s="102">
        <f>-D176*E$6</f>
        <v>0</v>
      </c>
    </row>
    <row r="177" spans="1:6" ht="10.8" customHeight="1" x14ac:dyDescent="0.25">
      <c r="A177" s="96">
        <v>113096003</v>
      </c>
      <c r="B177" s="96" t="s">
        <v>412</v>
      </c>
      <c r="C177" s="9" t="s">
        <v>422</v>
      </c>
      <c r="D177" s="102">
        <v>0</v>
      </c>
      <c r="E177" s="102">
        <f>-D177*E$6</f>
        <v>0</v>
      </c>
    </row>
    <row r="178" spans="1:6" ht="10.8" customHeight="1" x14ac:dyDescent="0.25">
      <c r="A178" s="96">
        <v>115091</v>
      </c>
      <c r="B178" s="96" t="s">
        <v>411</v>
      </c>
      <c r="C178" s="9">
        <v>0</v>
      </c>
      <c r="D178" s="102">
        <v>0</v>
      </c>
      <c r="E178" s="102">
        <v>0</v>
      </c>
    </row>
    <row r="179" spans="1:6" ht="10.8" customHeight="1" x14ac:dyDescent="0.25">
      <c r="A179" s="96">
        <v>131091</v>
      </c>
      <c r="B179" s="96" t="s">
        <v>410</v>
      </c>
      <c r="C179" s="9">
        <v>0</v>
      </c>
      <c r="D179" s="102">
        <v>0</v>
      </c>
      <c r="E179" s="102">
        <v>0</v>
      </c>
    </row>
    <row r="180" spans="1:6" ht="10.8" customHeight="1" x14ac:dyDescent="0.25">
      <c r="A180" s="105"/>
      <c r="B180" s="96" t="s">
        <v>12</v>
      </c>
      <c r="C180" s="103" t="s">
        <v>127</v>
      </c>
      <c r="D180" s="102">
        <f>SUM(D176:D179)</f>
        <v>0</v>
      </c>
      <c r="E180" s="81">
        <f>SUM(E176:E179)</f>
        <v>0</v>
      </c>
      <c r="F180" s="92" t="s">
        <v>405</v>
      </c>
    </row>
    <row r="181" spans="1:6" ht="10.8" customHeight="1" x14ac:dyDescent="0.25">
      <c r="A181" s="105"/>
      <c r="B181" s="96" t="s">
        <v>26</v>
      </c>
      <c r="C181" s="105"/>
      <c r="D181" s="105"/>
      <c r="E181" s="105"/>
    </row>
    <row r="182" spans="1:6" ht="10.8" customHeight="1" x14ac:dyDescent="0.25">
      <c r="A182" s="105"/>
      <c r="B182" s="96" t="s">
        <v>12</v>
      </c>
      <c r="C182" s="103" t="s">
        <v>409</v>
      </c>
      <c r="D182" s="105"/>
      <c r="E182" s="102">
        <f>E180+E173+E165+E153+E143+E22+E10+E157</f>
        <v>0</v>
      </c>
    </row>
    <row r="183" spans="1:6" ht="10.8" customHeight="1" x14ac:dyDescent="0.25">
      <c r="A183" s="105"/>
      <c r="B183" s="96" t="s">
        <v>26</v>
      </c>
      <c r="C183" s="105"/>
      <c r="D183" s="105"/>
      <c r="E183" s="105"/>
    </row>
    <row r="184" spans="1:6" ht="10.8" customHeight="1" x14ac:dyDescent="0.25">
      <c r="A184" s="9"/>
      <c r="B184" s="96" t="s">
        <v>26</v>
      </c>
      <c r="C184" s="99" t="s">
        <v>408</v>
      </c>
      <c r="D184" s="102"/>
      <c r="E184" s="102"/>
    </row>
    <row r="185" spans="1:6" ht="10.8" customHeight="1" x14ac:dyDescent="0.25">
      <c r="A185" s="9"/>
      <c r="B185" s="96" t="s">
        <v>26</v>
      </c>
      <c r="C185" s="77"/>
      <c r="D185" s="102">
        <v>0</v>
      </c>
      <c r="E185" s="102">
        <f>-D185*E$6</f>
        <v>0</v>
      </c>
    </row>
    <row r="186" spans="1:6" ht="10.8" customHeight="1" x14ac:dyDescent="0.25">
      <c r="A186" s="9"/>
      <c r="B186" s="96" t="s">
        <v>26</v>
      </c>
      <c r="C186" s="9"/>
      <c r="D186" s="102">
        <v>0</v>
      </c>
      <c r="E186" s="81">
        <f>-D186*E$6</f>
        <v>0</v>
      </c>
    </row>
    <row r="187" spans="1:6" ht="10.8" customHeight="1" x14ac:dyDescent="0.25">
      <c r="A187" s="9"/>
      <c r="B187" s="96" t="s">
        <v>26</v>
      </c>
      <c r="C187" s="9"/>
      <c r="D187" s="102"/>
      <c r="E187" s="81">
        <f>SUM(E185:E186)</f>
        <v>0</v>
      </c>
      <c r="F187" s="92" t="s">
        <v>405</v>
      </c>
    </row>
    <row r="188" spans="1:6" ht="10.8" customHeight="1" x14ac:dyDescent="0.25">
      <c r="A188" s="9"/>
      <c r="B188" s="96" t="s">
        <v>26</v>
      </c>
      <c r="C188" s="9"/>
      <c r="D188" s="102"/>
      <c r="E188" s="102"/>
    </row>
    <row r="189" spans="1:6" ht="10.8" customHeight="1" x14ac:dyDescent="0.25">
      <c r="A189" s="9"/>
      <c r="B189" s="96" t="s">
        <v>26</v>
      </c>
      <c r="C189" s="99" t="s">
        <v>407</v>
      </c>
      <c r="D189" s="102"/>
      <c r="E189" s="102"/>
    </row>
    <row r="190" spans="1:6" ht="10.8" customHeight="1" x14ac:dyDescent="0.25">
      <c r="A190" s="9"/>
      <c r="B190" s="96" t="s">
        <v>26</v>
      </c>
      <c r="C190" s="77"/>
      <c r="D190" s="102">
        <v>0</v>
      </c>
      <c r="E190" s="102">
        <f>-D190*E$6</f>
        <v>0</v>
      </c>
    </row>
    <row r="191" spans="1:6" ht="10.8" customHeight="1" x14ac:dyDescent="0.25">
      <c r="A191" s="9"/>
      <c r="B191" s="96" t="s">
        <v>26</v>
      </c>
      <c r="C191" s="9"/>
      <c r="D191" s="102">
        <v>0</v>
      </c>
      <c r="E191" s="81">
        <f>-D191*E$6</f>
        <v>0</v>
      </c>
    </row>
    <row r="192" spans="1:6" ht="10.8" customHeight="1" x14ac:dyDescent="0.25">
      <c r="A192" s="9"/>
      <c r="B192" s="96" t="s">
        <v>26</v>
      </c>
      <c r="C192" s="9"/>
      <c r="D192" s="102"/>
      <c r="E192" s="81">
        <f>SUM(E190:E191)</f>
        <v>0</v>
      </c>
      <c r="F192" s="92" t="s">
        <v>405</v>
      </c>
    </row>
    <row r="193" spans="1:6" ht="10.8" customHeight="1" x14ac:dyDescent="0.25">
      <c r="A193" s="9"/>
      <c r="B193" s="96" t="s">
        <v>26</v>
      </c>
      <c r="C193" s="9"/>
      <c r="D193" s="102"/>
      <c r="E193" s="102"/>
    </row>
    <row r="194" spans="1:6" ht="10.8" customHeight="1" x14ac:dyDescent="0.25">
      <c r="A194" s="9"/>
      <c r="B194" s="96" t="s">
        <v>26</v>
      </c>
      <c r="C194" s="99" t="s">
        <v>406</v>
      </c>
      <c r="D194" s="102"/>
      <c r="E194" s="81">
        <v>0</v>
      </c>
      <c r="F194" s="92" t="s">
        <v>405</v>
      </c>
    </row>
    <row r="195" spans="1:6" ht="10.8" customHeight="1" x14ac:dyDescent="0.25">
      <c r="A195" s="9"/>
      <c r="B195" s="96" t="s">
        <v>26</v>
      </c>
      <c r="C195" s="77"/>
      <c r="D195" s="102"/>
      <c r="E195" s="102"/>
    </row>
    <row r="196" spans="1:6" ht="10.8" customHeight="1" x14ac:dyDescent="0.25">
      <c r="B196" s="96" t="s">
        <v>26</v>
      </c>
      <c r="C196" s="175" t="s">
        <v>404</v>
      </c>
      <c r="D196" s="102"/>
      <c r="E196" s="102"/>
    </row>
    <row r="197" spans="1:6" ht="10.8" customHeight="1" x14ac:dyDescent="0.25">
      <c r="B197" s="96" t="s">
        <v>26</v>
      </c>
      <c r="C197" s="175" t="s">
        <v>403</v>
      </c>
      <c r="D197" s="102"/>
      <c r="E197" s="102"/>
    </row>
    <row r="198" spans="1:6" ht="10.8" customHeight="1" x14ac:dyDescent="0.25">
      <c r="A198" s="96">
        <v>181021001</v>
      </c>
      <c r="B198" s="96" t="s">
        <v>402</v>
      </c>
      <c r="C198" s="9" t="s">
        <v>419</v>
      </c>
      <c r="D198" s="102">
        <v>0</v>
      </c>
      <c r="E198" s="102"/>
    </row>
    <row r="199" spans="1:6" ht="10.8" customHeight="1" x14ac:dyDescent="0.25">
      <c r="A199" s="96">
        <v>181021001</v>
      </c>
      <c r="B199" s="96" t="s">
        <v>402</v>
      </c>
      <c r="C199" s="123">
        <f>Menu!C6</f>
        <v>0</v>
      </c>
      <c r="D199" s="107">
        <f>+E22+E79+E80+E81+E82+SUM(E111:E142)+E153+E165+E173+E180+E187+E192+E194</f>
        <v>0</v>
      </c>
      <c r="E199" s="108">
        <f>-D199+D198</f>
        <v>0</v>
      </c>
    </row>
    <row r="200" spans="1:6" ht="10.8" customHeight="1" x14ac:dyDescent="0.25">
      <c r="A200" s="9"/>
      <c r="B200" s="96" t="s">
        <v>26</v>
      </c>
      <c r="C200" s="9"/>
      <c r="D200" s="102"/>
      <c r="E200" s="102"/>
    </row>
    <row r="201" spans="1:6" ht="10.8" customHeight="1" x14ac:dyDescent="0.25">
      <c r="B201" s="96" t="s">
        <v>26</v>
      </c>
      <c r="C201" s="176" t="s">
        <v>401</v>
      </c>
      <c r="D201" s="102"/>
      <c r="E201" s="102"/>
    </row>
    <row r="202" spans="1:6" ht="10.8" customHeight="1" x14ac:dyDescent="0.25">
      <c r="B202" s="96" t="s">
        <v>26</v>
      </c>
      <c r="C202" s="176"/>
      <c r="D202" s="102"/>
      <c r="E202" s="102"/>
    </row>
    <row r="203" spans="1:6" ht="10.8" customHeight="1" x14ac:dyDescent="0.25">
      <c r="A203" s="96">
        <v>271021001</v>
      </c>
      <c r="B203" s="96" t="s">
        <v>400</v>
      </c>
      <c r="C203" s="9" t="s">
        <v>420</v>
      </c>
      <c r="D203" s="102">
        <v>0</v>
      </c>
      <c r="E203" s="102"/>
    </row>
    <row r="204" spans="1:6" ht="10.8" customHeight="1" x14ac:dyDescent="0.25">
      <c r="A204" s="96">
        <v>271021001</v>
      </c>
      <c r="B204" s="96" t="s">
        <v>400</v>
      </c>
      <c r="C204" s="123">
        <f>Menu!C6</f>
        <v>0</v>
      </c>
      <c r="D204" s="107">
        <f>+E11+SUM(E25:E78)+SUM(E83:E110)+E157</f>
        <v>0</v>
      </c>
      <c r="E204" s="108">
        <f>-D204+D203</f>
        <v>0</v>
      </c>
    </row>
    <row r="205" spans="1:6" ht="10.8" customHeight="1" x14ac:dyDescent="0.25">
      <c r="A205" s="9"/>
      <c r="B205" s="96" t="s">
        <v>26</v>
      </c>
      <c r="C205" s="9"/>
      <c r="D205" s="102"/>
      <c r="E205" s="109"/>
    </row>
    <row r="206" spans="1:6" ht="10.8" customHeight="1" thickBot="1" x14ac:dyDescent="0.3">
      <c r="A206" s="9"/>
      <c r="B206" s="96" t="s">
        <v>12</v>
      </c>
      <c r="C206" s="99"/>
      <c r="D206" s="9"/>
      <c r="E206" s="110">
        <f>+E199+E204</f>
        <v>0</v>
      </c>
    </row>
    <row r="207" spans="1:6" ht="10.8" customHeight="1" thickTop="1" x14ac:dyDescent="0.25"/>
  </sheetData>
  <sheetProtection insertColumns="0" insertRows="0" deleteColumns="0" deleteRows="0" selectLockedCells="1" selectUnlockedCells="1"/>
  <mergeCells count="5">
    <mergeCell ref="A1:E1"/>
    <mergeCell ref="A2:E2"/>
    <mergeCell ref="A3:E3"/>
    <mergeCell ref="C196:C197"/>
    <mergeCell ref="C201:C202"/>
  </mergeCells>
  <pageMargins left="0.7" right="0.7" top="0.75" bottom="0.75" header="0.3" footer="0.3"/>
  <pageSetup orientation="portrait" r:id="rId1"/>
  <headerFooter>
    <oddHeader>&amp;C&amp;L&amp;RAnexo N°. 141 / 013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Q28"/>
  <sheetViews>
    <sheetView zoomScaleNormal="100" workbookViewId="0">
      <selection activeCell="N6" sqref="N6:N9"/>
    </sheetView>
  </sheetViews>
  <sheetFormatPr defaultColWidth="8.88671875" defaultRowHeight="14.4" x14ac:dyDescent="0.3"/>
  <cols>
    <col min="1" max="1" width="8.77734375" style="88" customWidth="1"/>
    <col min="2" max="2" width="10" style="88" bestFit="1" customWidth="1"/>
    <col min="3" max="4" width="8.88671875" style="88"/>
    <col min="5" max="5" width="8.88671875" style="88" customWidth="1"/>
    <col min="6" max="11" width="8.88671875" style="88"/>
    <col min="12" max="12" width="22.21875" style="88" bestFit="1" customWidth="1"/>
    <col min="13" max="13" width="19.88671875" style="88" customWidth="1"/>
    <col min="14" max="14" width="14.88671875" style="88" bestFit="1" customWidth="1"/>
    <col min="15" max="15" width="12.6640625" style="88" customWidth="1"/>
    <col min="16" max="16384" width="8.88671875" style="88"/>
  </cols>
  <sheetData>
    <row r="1" spans="2:15" s="91" customFormat="1" ht="43.2" customHeight="1" x14ac:dyDescent="0.3">
      <c r="F1" s="192"/>
      <c r="G1" s="192"/>
      <c r="H1" s="192"/>
    </row>
    <row r="3" spans="2:15" ht="15" thickBot="1" x14ac:dyDescent="0.35"/>
    <row r="4" spans="2:15" ht="15" thickBot="1" x14ac:dyDescent="0.35">
      <c r="B4" s="122" t="s">
        <v>438</v>
      </c>
      <c r="C4" s="189"/>
      <c r="D4" s="190"/>
      <c r="E4" s="190"/>
      <c r="F4" s="190"/>
      <c r="G4" s="191"/>
      <c r="L4" s="182"/>
      <c r="M4" s="183"/>
      <c r="N4" s="183"/>
      <c r="O4" s="184"/>
    </row>
    <row r="5" spans="2:15" ht="15" thickBot="1" x14ac:dyDescent="0.35">
      <c r="L5" s="136" t="s">
        <v>430</v>
      </c>
      <c r="M5" s="124" t="s">
        <v>431</v>
      </c>
      <c r="N5" s="125" t="s">
        <v>432</v>
      </c>
      <c r="O5" s="137" t="s">
        <v>439</v>
      </c>
    </row>
    <row r="6" spans="2:15" ht="15" thickBot="1" x14ac:dyDescent="0.35">
      <c r="B6" s="122" t="s">
        <v>437</v>
      </c>
      <c r="C6" s="185"/>
      <c r="D6" s="186"/>
      <c r="L6" s="141" t="s">
        <v>433</v>
      </c>
      <c r="M6" s="126">
        <v>0</v>
      </c>
      <c r="N6" s="126"/>
      <c r="O6" s="127">
        <f>M6-N6</f>
        <v>0</v>
      </c>
    </row>
    <row r="7" spans="2:15" ht="15" thickBot="1" x14ac:dyDescent="0.35">
      <c r="L7" s="141" t="s">
        <v>436</v>
      </c>
      <c r="M7" s="126">
        <v>0</v>
      </c>
      <c r="N7" s="126"/>
      <c r="O7" s="127">
        <f>-M7-N7</f>
        <v>0</v>
      </c>
    </row>
    <row r="8" spans="2:15" ht="15" thickBot="1" x14ac:dyDescent="0.35">
      <c r="B8" s="122"/>
      <c r="C8" s="187"/>
      <c r="D8" s="188"/>
      <c r="L8" s="141" t="s">
        <v>434</v>
      </c>
      <c r="M8" s="126">
        <v>0</v>
      </c>
      <c r="N8" s="126"/>
      <c r="O8" s="127">
        <f>-M8-N8</f>
        <v>0</v>
      </c>
    </row>
    <row r="9" spans="2:15" x14ac:dyDescent="0.3">
      <c r="L9" s="141" t="s">
        <v>435</v>
      </c>
      <c r="M9" s="126">
        <v>0</v>
      </c>
      <c r="N9" s="126"/>
      <c r="O9" s="127">
        <f>M9-N9</f>
        <v>0</v>
      </c>
    </row>
    <row r="10" spans="2:15" x14ac:dyDescent="0.3">
      <c r="L10" s="193"/>
      <c r="M10" s="194"/>
      <c r="N10" s="194"/>
      <c r="O10" s="195"/>
    </row>
    <row r="11" spans="2:15" x14ac:dyDescent="0.3">
      <c r="L11" s="138"/>
      <c r="M11" s="139"/>
      <c r="N11" s="139"/>
      <c r="O11" s="140"/>
    </row>
    <row r="12" spans="2:15" x14ac:dyDescent="0.3">
      <c r="L12" s="148" t="s">
        <v>440</v>
      </c>
      <c r="M12" s="131"/>
      <c r="N12" s="152">
        <f>-RCF!H59</f>
        <v>0</v>
      </c>
      <c r="O12" s="132"/>
    </row>
    <row r="13" spans="2:15" x14ac:dyDescent="0.3">
      <c r="L13" s="148" t="s">
        <v>115</v>
      </c>
      <c r="M13"/>
      <c r="N13" s="152">
        <f>-RCF!J51</f>
        <v>0</v>
      </c>
      <c r="O13" s="132"/>
    </row>
    <row r="14" spans="2:15" x14ac:dyDescent="0.3">
      <c r="L14" s="128"/>
      <c r="M14" s="133"/>
      <c r="N14" s="134"/>
      <c r="O14" s="135"/>
    </row>
    <row r="15" spans="2:15" x14ac:dyDescent="0.3">
      <c r="L15" s="177"/>
      <c r="M15" s="178"/>
      <c r="N15" s="178"/>
      <c r="O15" s="179"/>
    </row>
    <row r="16" spans="2:15" x14ac:dyDescent="0.3">
      <c r="L16" s="143" t="s">
        <v>441</v>
      </c>
      <c r="M16" s="144"/>
      <c r="N16" s="130"/>
      <c r="O16" s="145"/>
    </row>
    <row r="17" spans="12:17" x14ac:dyDescent="0.3">
      <c r="L17" s="141" t="s">
        <v>444</v>
      </c>
      <c r="M17" s="126">
        <v>0</v>
      </c>
      <c r="N17" s="126"/>
      <c r="O17" s="146"/>
    </row>
    <row r="18" spans="12:17" x14ac:dyDescent="0.3">
      <c r="L18" s="141" t="s">
        <v>445</v>
      </c>
      <c r="M18" s="126">
        <v>0</v>
      </c>
      <c r="N18" s="126"/>
      <c r="O18" s="146"/>
    </row>
    <row r="19" spans="12:17" x14ac:dyDescent="0.3">
      <c r="L19" s="141" t="s">
        <v>446</v>
      </c>
      <c r="M19" s="126">
        <v>0</v>
      </c>
      <c r="N19" s="126"/>
      <c r="O19" s="146"/>
    </row>
    <row r="20" spans="12:17" x14ac:dyDescent="0.3">
      <c r="L20" s="141" t="s">
        <v>447</v>
      </c>
      <c r="M20" s="129">
        <v>0</v>
      </c>
      <c r="N20" s="142">
        <f>SUM(M17:M20)</f>
        <v>0</v>
      </c>
      <c r="O20" s="146"/>
    </row>
    <row r="21" spans="12:17" x14ac:dyDescent="0.3">
      <c r="L21" s="147"/>
      <c r="M21" s="126"/>
      <c r="N21" s="126"/>
      <c r="O21" s="146"/>
    </row>
    <row r="22" spans="12:17" x14ac:dyDescent="0.3">
      <c r="L22" s="148" t="s">
        <v>125</v>
      </c>
      <c r="M22" s="126"/>
      <c r="N22" s="126"/>
      <c r="O22" s="146"/>
    </row>
    <row r="23" spans="12:17" x14ac:dyDescent="0.3">
      <c r="L23" s="149"/>
      <c r="M23" s="126"/>
      <c r="N23" s="126"/>
      <c r="O23" s="146"/>
    </row>
    <row r="24" spans="12:17" x14ac:dyDescent="0.3">
      <c r="L24" s="141" t="s">
        <v>442</v>
      </c>
      <c r="M24" s="126">
        <v>0</v>
      </c>
      <c r="N24" s="126"/>
      <c r="O24" s="146"/>
    </row>
    <row r="25" spans="12:17" x14ac:dyDescent="0.3">
      <c r="L25" s="141" t="s">
        <v>443</v>
      </c>
      <c r="M25" s="129">
        <v>0</v>
      </c>
      <c r="N25" s="142">
        <f>SUM(M24:M25)</f>
        <v>0</v>
      </c>
      <c r="O25" s="146"/>
    </row>
    <row r="26" spans="12:17" x14ac:dyDescent="0.3">
      <c r="L26" s="149"/>
      <c r="M26" s="126"/>
      <c r="N26" s="126"/>
      <c r="O26" s="146"/>
      <c r="Q26" s="90"/>
    </row>
    <row r="27" spans="12:17" x14ac:dyDescent="0.3">
      <c r="L27" s="180" t="s">
        <v>448</v>
      </c>
      <c r="M27" s="181"/>
      <c r="N27" s="151">
        <f>-SUM(N20:N25)</f>
        <v>0</v>
      </c>
      <c r="O27" s="146"/>
    </row>
    <row r="28" spans="12:17" x14ac:dyDescent="0.3">
      <c r="L28" s="150"/>
      <c r="M28" s="133"/>
      <c r="N28" s="133"/>
      <c r="O28" s="135"/>
    </row>
  </sheetData>
  <sheetProtection selectLockedCells="1" pivotTables="0" selectUnlockedCells="1"/>
  <mergeCells count="8">
    <mergeCell ref="F1:H1"/>
    <mergeCell ref="L10:O10"/>
    <mergeCell ref="L15:O15"/>
    <mergeCell ref="L27:M27"/>
    <mergeCell ref="L4:O4"/>
    <mergeCell ref="C6:D6"/>
    <mergeCell ref="C8:D8"/>
    <mergeCell ref="C4:G4"/>
  </mergeCells>
  <conditionalFormatting sqref="N27">
    <cfRule type="iconSet" priority="1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2F1C735-0B1E-4FC9-BBA6-C167992D0105}">
            <x14:iconSet iconSet="3Symbols2" custom="1">
              <x14:cfvo type="percent">
                <xm:f>0</xm:f>
              </x14:cfvo>
              <x14:cfvo type="num">
                <xm:f>-1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O6</xm:sqref>
        </x14:conditionalFormatting>
        <x14:conditionalFormatting xmlns:xm="http://schemas.microsoft.com/office/excel/2006/main">
          <x14:cfRule type="iconSet" priority="4" id="{4A5BE96F-2AD9-499B-A65A-A2D15AFE705C}">
            <x14:iconSet iconSet="3Symbols2" custom="1">
              <x14:cfvo type="percent">
                <xm:f>0</xm:f>
              </x14:cfvo>
              <x14:cfvo type="num">
                <xm:f>-1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O7</xm:sqref>
        </x14:conditionalFormatting>
        <x14:conditionalFormatting xmlns:xm="http://schemas.microsoft.com/office/excel/2006/main">
          <x14:cfRule type="iconSet" priority="3" id="{AC84F900-732A-413E-9DCF-4927896BA33B}">
            <x14:iconSet iconSet="3Symbols2" custom="1">
              <x14:cfvo type="percent">
                <xm:f>0</xm:f>
              </x14:cfvo>
              <x14:cfvo type="num">
                <xm:f>-1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O8</xm:sqref>
        </x14:conditionalFormatting>
        <x14:conditionalFormatting xmlns:xm="http://schemas.microsoft.com/office/excel/2006/main">
          <x14:cfRule type="iconSet" priority="2" id="{E8C8A1D9-A605-4153-9A4D-D41064D39D13}">
            <x14:iconSet iconSet="3Symbols2" custom="1">
              <x14:cfvo type="percent">
                <xm:f>0</xm:f>
              </x14:cfvo>
              <x14:cfvo type="num">
                <xm:f>-1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O9</xm:sqref>
        </x14:conditionalFormatting>
        <x14:conditionalFormatting xmlns:xm="http://schemas.microsoft.com/office/excel/2006/main">
          <x14:cfRule type="iconSet" priority="1" id="{1EEFA6BE-D200-4A8D-A367-23045844EAEC}">
            <x14:iconSet iconSet="3Symbols2" custom="1">
              <x14:cfvo type="percent">
                <xm:f>0</xm:f>
              </x14:cfvo>
              <x14:cfvo type="num">
                <xm:f>-1</xm:f>
              </x14:cfvo>
              <x14:cfvo type="num">
                <xm:f>1</xm:f>
              </x14:cfvo>
              <x14:cfIcon iconSet="3Arrows" iconId="0"/>
              <x14:cfIcon iconSet="3Arrows" iconId="1"/>
              <x14:cfIcon iconSet="3Arrows" iconId="2"/>
            </x14:iconSet>
          </x14:cfRule>
          <xm:sqref>N12:N13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Datos!$C$4:$C$15</xm:f>
          </x14:formula1>
          <xm:sqref>M1 C6</xm:sqref>
        </x14:dataValidation>
        <x14:dataValidation type="list" allowBlank="1" showInputMessage="1" showErrorMessage="1" xr:uid="{00000000-0002-0000-0500-000001000000}">
          <x14:formula1>
            <xm:f>Datos!$B$4:$B$11</xm:f>
          </x14:formula1>
          <xm:sqref>C4:G4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/>
  <dimension ref="C4:C15"/>
  <sheetViews>
    <sheetView workbookViewId="0">
      <selection activeCell="D9" sqref="D9"/>
    </sheetView>
  </sheetViews>
  <sheetFormatPr defaultColWidth="11.5546875" defaultRowHeight="14.4" x14ac:dyDescent="0.3"/>
  <cols>
    <col min="2" max="2" width="39.44140625" bestFit="1" customWidth="1"/>
  </cols>
  <sheetData>
    <row r="4" spans="3:3" x14ac:dyDescent="0.3">
      <c r="C4" s="121"/>
    </row>
    <row r="5" spans="3:3" x14ac:dyDescent="0.3">
      <c r="C5" s="121"/>
    </row>
    <row r="6" spans="3:3" x14ac:dyDescent="0.3">
      <c r="C6" s="121"/>
    </row>
    <row r="7" spans="3:3" x14ac:dyDescent="0.3">
      <c r="C7" s="121"/>
    </row>
    <row r="8" spans="3:3" x14ac:dyDescent="0.3">
      <c r="C8" s="121"/>
    </row>
    <row r="9" spans="3:3" x14ac:dyDescent="0.3">
      <c r="C9" s="121"/>
    </row>
    <row r="10" spans="3:3" x14ac:dyDescent="0.3">
      <c r="C10" s="121"/>
    </row>
    <row r="11" spans="3:3" x14ac:dyDescent="0.3">
      <c r="C11" s="121"/>
    </row>
    <row r="12" spans="3:3" x14ac:dyDescent="0.3">
      <c r="C12" s="121"/>
    </row>
    <row r="13" spans="3:3" x14ac:dyDescent="0.3">
      <c r="C13" s="121"/>
    </row>
    <row r="14" spans="3:3" x14ac:dyDescent="0.3">
      <c r="C14" s="121"/>
    </row>
    <row r="15" spans="3:3" x14ac:dyDescent="0.3">
      <c r="C15" s="121"/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BC inicial</vt:lpstr>
      <vt:lpstr>BC</vt:lpstr>
      <vt:lpstr>RCF</vt:lpstr>
      <vt:lpstr>Anexo N13</vt:lpstr>
      <vt:lpstr>Base Impuesto Diferido</vt:lpstr>
      <vt:lpstr>Menu</vt:lpstr>
      <vt:lpstr>Datos</vt:lpstr>
      <vt:lpstr>RCF!Print_Area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Germain Alexander Aguilar Guillen</dc:creator>
  <cp:lastModifiedBy>Germain Aguilar</cp:lastModifiedBy>
  <cp:lastPrinted>2024-11-14T13:59:50Z</cp:lastPrinted>
  <dcterms:created xsi:type="dcterms:W3CDTF">2024-11-14T02:03:00Z</dcterms:created>
  <dcterms:modified xsi:type="dcterms:W3CDTF">2026-01-28T15:59:00Z</dcterms:modified>
</cp:coreProperties>
</file>